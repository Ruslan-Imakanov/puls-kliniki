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Счёт" sheetId="2" state="visible" r:id="rId2"/>
    <sheet xmlns:r="http://schemas.openxmlformats.org/officeDocument/2006/relationships" name="Акт" sheetId="3" state="visible" r:id="rId3"/>
    <sheet xmlns:r="http://schemas.openxmlformats.org/officeDocument/2006/relationships" name="Учёт обращений" sheetId="4" state="visible" r:id="rId4"/>
    <sheet xmlns:r="http://schemas.openxmlformats.org/officeDocument/2006/relationships" name="Воронка" sheetId="5" state="visible" r:id="rId5"/>
  </sheets>
  <definedNames>
    <definedName name="_xlnm._FilterDatabase" localSheetId="3" hidden="1">'Учёт обращений'!$A$1:$P$201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&quot; ₸&quot;"/>
    <numFmt numFmtId="166" formatCode="#,##0.00&quot; ₸&quot;"/>
    <numFmt numFmtId="167" formatCode="yyyy-mm-dd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66666"/>
      <sz val="10"/>
    </font>
    <font>
      <name val="Calibri"/>
      <b val="1"/>
      <sz val="11"/>
    </font>
    <font>
      <name val="Calibri"/>
      <color rgb="000000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6F6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66" fontId="4" fillId="2" borderId="1" pivotButton="0" quotePrefix="0" xfId="0"/>
    <xf numFmtId="166" fontId="0" fillId="0" borderId="1" pivotButton="0" quotePrefix="0" xfId="0"/>
    <xf numFmtId="166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1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3" fontId="0" fillId="0" borderId="0" pivotButton="0" quotePrefix="0" xfId="0"/>
    <xf numFmtId="0" fontId="5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FFE0B2"/>
        </patternFill>
      </fill>
    </dxf>
    <dxf>
      <fill>
        <patternFill patternType="solid">
          <bgColor rgb="00C8E6C9"/>
        </patternFill>
      </fill>
    </dxf>
    <dxf>
      <fill>
        <patternFill patternType="solid">
          <b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Реквизиты и данные клиента</t>
        </is>
      </c>
    </row>
    <row r="2">
      <c r="A2" s="2" t="inlineStr">
        <is>
          <t>Заполните синие ячейки один раз — счёт и акт подставят данные сами.</t>
        </is>
      </c>
    </row>
    <row r="4">
      <c r="A4" s="3" t="inlineStr">
        <is>
          <t>Исполнитель</t>
        </is>
      </c>
    </row>
    <row r="5">
      <c r="A5" t="inlineStr">
        <is>
          <t>Наименование</t>
        </is>
      </c>
      <c r="B5" s="4" t="inlineStr">
        <is>
          <t>ИП Имаканов Руслан Арсланович</t>
        </is>
      </c>
    </row>
    <row r="6">
      <c r="A6" t="inlineStr">
        <is>
          <t>ИИН</t>
        </is>
      </c>
      <c r="B6" s="4" t="inlineStr">
        <is>
          <t>020413550395</t>
        </is>
      </c>
    </row>
    <row r="7">
      <c r="A7" t="inlineStr">
        <is>
          <t>Адрес</t>
        </is>
      </c>
      <c r="B7" s="4" t="inlineStr">
        <is>
          <t>г. Костанай, ул. Тауелсиздик, 70</t>
        </is>
      </c>
    </row>
    <row r="8">
      <c r="A8" t="inlineStr">
        <is>
          <t>Банк</t>
        </is>
      </c>
      <c r="B8" s="4" t="inlineStr">
        <is>
          <t>АО «Народный Банк Казахстана»</t>
        </is>
      </c>
    </row>
    <row r="9">
      <c r="A9" t="inlineStr">
        <is>
          <t>ИИК</t>
        </is>
      </c>
      <c r="B9" s="4" t="inlineStr">
        <is>
          <t>KZ56601A221039793271</t>
        </is>
      </c>
    </row>
    <row r="10">
      <c r="A10" t="inlineStr">
        <is>
          <t>БИК</t>
        </is>
      </c>
      <c r="B10" s="4" t="inlineStr">
        <is>
          <t>HSBKKZKX</t>
        </is>
      </c>
    </row>
    <row r="11">
      <c r="A11" t="inlineStr">
        <is>
          <t>Кбе</t>
        </is>
      </c>
      <c r="B11" s="4" t="inlineStr">
        <is>
          <t>19</t>
        </is>
      </c>
    </row>
    <row r="12">
      <c r="A12" t="inlineStr">
        <is>
          <t>Телефон</t>
        </is>
      </c>
      <c r="B12" s="4" t="inlineStr">
        <is>
          <t>+7 707 611 30 75</t>
        </is>
      </c>
    </row>
    <row r="13">
      <c r="A13" t="inlineStr">
        <is>
          <t>Почта</t>
        </is>
      </c>
      <c r="B13" s="4" t="inlineStr">
        <is>
          <t>ruslanimakanov8@gmail.com</t>
        </is>
      </c>
    </row>
    <row r="14">
      <c r="A14" s="3" t="inlineStr">
        <is>
          <t>Заказчик (клиника)</t>
        </is>
      </c>
    </row>
    <row r="15">
      <c r="A15" t="inlineStr">
        <is>
          <t>Наименование</t>
        </is>
      </c>
      <c r="B15" s="4" t="inlineStr"/>
    </row>
    <row r="16">
      <c r="A16" t="inlineStr">
        <is>
          <t>БИН/ИИН</t>
        </is>
      </c>
      <c r="B16" s="4" t="inlineStr"/>
    </row>
    <row r="17">
      <c r="A17" t="inlineStr">
        <is>
          <t>Адрес</t>
        </is>
      </c>
      <c r="B17" s="4" t="inlineStr"/>
    </row>
    <row r="18">
      <c r="A18" s="3" t="inlineStr">
        <is>
          <t>Документ</t>
        </is>
      </c>
    </row>
    <row r="19">
      <c r="A19" t="inlineStr">
        <is>
          <t>Номер счёта</t>
        </is>
      </c>
      <c r="B19" s="4" t="n">
        <v>1</v>
      </c>
    </row>
    <row r="20">
      <c r="A20" t="inlineStr">
        <is>
          <t>Дата счёта</t>
        </is>
      </c>
      <c r="B20" s="5">
        <f>TODAY()</f>
        <v/>
      </c>
    </row>
    <row r="21">
      <c r="A21" t="inlineStr">
        <is>
          <t>Номер акта</t>
        </is>
      </c>
      <c r="B21" s="4" t="n">
        <v>1</v>
      </c>
    </row>
    <row r="22">
      <c r="A22" t="inlineStr">
        <is>
          <t>Дата акта</t>
        </is>
      </c>
      <c r="B22" s="5">
        <f>TODAY()</f>
        <v/>
      </c>
    </row>
    <row r="23">
      <c r="A23" t="inlineStr">
        <is>
          <t>Договор</t>
        </is>
      </c>
      <c r="B23" s="4" t="inlineStr">
        <is>
          <t>Публичная оферта https://puls-kliniki.imakanovr.workers.dev/terms</t>
        </is>
      </c>
    </row>
    <row r="25">
      <c r="A25" s="3" t="inlineStr">
        <is>
          <t>Тарифы (справочник)</t>
        </is>
      </c>
    </row>
    <row r="26">
      <c r="A26" t="inlineStr">
        <is>
          <t>Подписка «Старт», месяц</t>
        </is>
      </c>
      <c r="B26" s="6" t="n">
        <v>29000</v>
      </c>
    </row>
    <row r="27">
      <c r="A27" t="inlineStr">
        <is>
          <t>Подписка «Клиника», месяц</t>
        </is>
      </c>
      <c r="B27" s="6" t="n">
        <v>49000</v>
      </c>
    </row>
    <row r="28">
      <c r="A28" t="inlineStr">
        <is>
          <t>Подписка «Сеть», месяц</t>
        </is>
      </c>
      <c r="B28" s="6" t="n">
        <v>89000</v>
      </c>
    </row>
    <row r="29">
      <c r="A29" t="inlineStr">
        <is>
          <t>Подключение (разово)</t>
        </is>
      </c>
      <c r="B29" s="6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0" customWidth="1" min="3" max="3"/>
    <col width="18" customWidth="1" min="4" max="4"/>
    <col width="18" customWidth="1" min="5" max="5"/>
  </cols>
  <sheetData>
    <row r="1">
      <c r="A1" s="1">
        <f>"Счёт на оплату № "&amp;Реквизиты!B19&amp;" от "&amp;TEXT(Реквизиты!B20,"DD.MM.YYYY")</f>
        <v/>
      </c>
    </row>
    <row r="3">
      <c r="A3" s="3" t="inlineStr">
        <is>
          <t>Поставщик</t>
        </is>
      </c>
      <c r="B3">
        <f>Реквизиты!B5&amp;", ИИН "&amp;Реквизиты!B6&amp;", "&amp;Реквизиты!B7</f>
        <v/>
      </c>
    </row>
    <row r="4">
      <c r="A4" s="3" t="inlineStr">
        <is>
          <t>Покупатель</t>
        </is>
      </c>
      <c r="B4">
        <f>Реквизиты!B15&amp;IF(Реквизиты!B16&lt;&gt;"",", БИН/ИИН "&amp;Реквизиты!B16,"")&amp;IF(Реквизиты!B17&lt;&gt;"",", "&amp;Реквизиты!B17,"")</f>
        <v/>
      </c>
    </row>
    <row r="5">
      <c r="A5" s="3" t="inlineStr">
        <is>
          <t>Договор</t>
        </is>
      </c>
      <c r="B5">
        <f>Реквизиты!B23</f>
        <v/>
      </c>
    </row>
    <row r="7">
      <c r="A7" s="7" t="inlineStr">
        <is>
          <t>№</t>
        </is>
      </c>
      <c r="B7" s="7" t="inlineStr">
        <is>
          <t>Наименование</t>
        </is>
      </c>
      <c r="C7" s="7" t="inlineStr">
        <is>
          <t>Кол-во</t>
        </is>
      </c>
      <c r="D7" s="7" t="inlineStr">
        <is>
          <t>Цена</t>
        </is>
      </c>
      <c r="E7" s="7" t="inlineStr">
        <is>
          <t>Сумма</t>
        </is>
      </c>
    </row>
    <row r="8">
      <c r="A8" s="8" t="n">
        <v>1</v>
      </c>
      <c r="B8" s="4" t="inlineStr">
        <is>
          <t>Подписка на программу «Пульс клиники», тариф «Клиника», 1 месяц</t>
        </is>
      </c>
      <c r="C8" s="4" t="n">
        <v>1</v>
      </c>
      <c r="D8" s="9">
        <f>Реквизиты!B27</f>
        <v/>
      </c>
      <c r="E8" s="10">
        <f>IF(AND(ISNUMBER(C8),ISNUMBER(D8)),C8*D8,0)</f>
        <v/>
      </c>
    </row>
    <row r="9">
      <c r="A9" s="8" t="n">
        <v>2</v>
      </c>
      <c r="B9" s="4" t="inlineStr">
        <is>
          <t>Подключение: перенос данных, настройка, обучение</t>
        </is>
      </c>
      <c r="C9" s="4" t="n">
        <v>1</v>
      </c>
      <c r="D9" s="9">
        <f>Реквизиты!B29</f>
        <v/>
      </c>
      <c r="E9" s="10">
        <f>IF(AND(ISNUMBER(C9),ISNUMBER(D9)),C9*D9,0)</f>
        <v/>
      </c>
    </row>
    <row r="10">
      <c r="A10" s="8" t="n">
        <v>3</v>
      </c>
      <c r="B10" s="4" t="inlineStr"/>
      <c r="C10" s="4" t="n"/>
      <c r="D10" s="9" t="n"/>
      <c r="E10" s="10">
        <f>IF(AND(ISNUMBER(C10),ISNUMBER(D10)),C10*D10,0)</f>
        <v/>
      </c>
    </row>
    <row r="11">
      <c r="A11" s="8" t="n">
        <v>4</v>
      </c>
      <c r="B11" s="4" t="inlineStr"/>
      <c r="C11" s="4" t="n"/>
      <c r="D11" s="9" t="n"/>
      <c r="E11" s="10">
        <f>IF(AND(ISNUMBER(C11),ISNUMBER(D11)),C11*D11,0)</f>
        <v/>
      </c>
    </row>
    <row r="12">
      <c r="A12" s="8" t="n">
        <v>5</v>
      </c>
      <c r="B12" s="4" t="inlineStr"/>
      <c r="C12" s="4" t="n"/>
      <c r="D12" s="9" t="n"/>
      <c r="E12" s="10">
        <f>IF(AND(ISNUMBER(C12),ISNUMBER(D12)),C12*D12,0)</f>
        <v/>
      </c>
    </row>
    <row r="13">
      <c r="D13" s="3" t="inlineStr">
        <is>
          <t>Итого</t>
        </is>
      </c>
      <c r="E13" s="11">
        <f>SUM(E8:E12)</f>
        <v/>
      </c>
    </row>
    <row r="14">
      <c r="D14" t="inlineStr">
        <is>
          <t>НДС</t>
        </is>
      </c>
      <c r="E14" s="12" t="inlineStr">
        <is>
          <t>без НДС</t>
        </is>
      </c>
    </row>
    <row r="16">
      <c r="A16" s="3" t="inlineStr">
        <is>
          <t>Всего к оплате:</t>
        </is>
      </c>
      <c r="B16">
        <f>TEXT(E13,"#,##0")&amp;" тенге"</f>
        <v/>
      </c>
    </row>
    <row r="17">
      <c r="A17" s="3" t="inlineStr">
        <is>
          <t>Сумма прописью:</t>
        </is>
      </c>
      <c r="B17" s="13" t="inlineStr">
        <is>
          <t>введите вручную, например: сто девяносто девять тысяч тенге 00 тиын</t>
        </is>
      </c>
    </row>
    <row r="19">
      <c r="A19" s="3" t="inlineStr">
        <is>
          <t>Реквизиты для оплаты</t>
        </is>
      </c>
    </row>
    <row r="20">
      <c r="A20" t="inlineStr">
        <is>
          <t>Получатель</t>
        </is>
      </c>
      <c r="B20">
        <f>Реквизиты!B5</f>
        <v/>
      </c>
    </row>
    <row r="21">
      <c r="A21" t="inlineStr">
        <is>
          <t>ИИН</t>
        </is>
      </c>
      <c r="B21">
        <f>Реквизиты!B6</f>
        <v/>
      </c>
    </row>
    <row r="22">
      <c r="A22" t="inlineStr">
        <is>
          <t>Банк</t>
        </is>
      </c>
      <c r="B22">
        <f>Реквизиты!B8</f>
        <v/>
      </c>
    </row>
    <row r="23">
      <c r="A23" t="inlineStr">
        <is>
          <t>ИИК</t>
        </is>
      </c>
      <c r="B23">
        <f>Реквизиты!B9</f>
        <v/>
      </c>
    </row>
    <row r="24">
      <c r="A24" t="inlineStr">
        <is>
          <t>БИК</t>
        </is>
      </c>
      <c r="B24">
        <f>Реквизиты!B10</f>
        <v/>
      </c>
    </row>
    <row r="25">
      <c r="A25" t="inlineStr">
        <is>
          <t>Кбе</t>
        </is>
      </c>
      <c r="B25">
        <f>Реквизиты!B11</f>
        <v/>
      </c>
    </row>
    <row r="26">
      <c r="A26" t="inlineStr">
        <is>
          <t>Назначение платежа</t>
        </is>
      </c>
      <c r="B26">
        <f>"Оплата по счёту № "&amp;Реквизиты!B19&amp;" от "&amp;TEXT(Реквизиты!B20,"DD.MM.YYYY")&amp;", подписка «Пульс клиники»"</f>
        <v/>
      </c>
    </row>
    <row r="28">
      <c r="A28" s="2" t="inlineStr">
        <is>
          <t>Счёт действителен 10 календарных дней. Подпись: ____________  / Имаканов Р. А. /</t>
        </is>
      </c>
    </row>
  </sheetData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0" customWidth="1" min="3" max="3"/>
    <col width="18" customWidth="1" min="4" max="4"/>
    <col width="18" customWidth="1" min="5" max="5"/>
  </cols>
  <sheetData>
    <row r="1">
      <c r="A1" s="1">
        <f>"Акт выполненных работ (оказанных услуг) № "&amp;Реквизиты!B21&amp;" от "&amp;TEXT(Реквизиты!B22,"DD.MM.YYYY")</f>
        <v/>
      </c>
    </row>
    <row r="3">
      <c r="A3" s="3" t="inlineStr">
        <is>
          <t>Исполнитель</t>
        </is>
      </c>
      <c r="B3">
        <f>Реквизиты!B5&amp;", ИИН "&amp;Реквизиты!B6&amp;", "&amp;Реквизиты!B7</f>
        <v/>
      </c>
    </row>
    <row r="4">
      <c r="A4" s="3" t="inlineStr">
        <is>
          <t>Заказчик</t>
        </is>
      </c>
      <c r="B4">
        <f>Реквизиты!B15&amp;IF(Реквизиты!B16&lt;&gt;"",", БИН/ИИН "&amp;Реквизиты!B16,"")&amp;IF(Реквизиты!B17&lt;&gt;"",", "&amp;Реквизиты!B17,"")</f>
        <v/>
      </c>
    </row>
    <row r="5">
      <c r="A5" s="3" t="inlineStr">
        <is>
          <t>Договор</t>
        </is>
      </c>
      <c r="B5">
        <f>Реквизиты!B23</f>
        <v/>
      </c>
    </row>
    <row r="7">
      <c r="A7" s="7" t="inlineStr">
        <is>
          <t>№</t>
        </is>
      </c>
      <c r="B7" s="7" t="inlineStr">
        <is>
          <t>Наименование</t>
        </is>
      </c>
      <c r="C7" s="7" t="inlineStr">
        <is>
          <t>Кол-во</t>
        </is>
      </c>
      <c r="D7" s="7" t="inlineStr">
        <is>
          <t>Цена</t>
        </is>
      </c>
      <c r="E7" s="7" t="inlineStr">
        <is>
          <t>Сумма</t>
        </is>
      </c>
    </row>
    <row r="8">
      <c r="A8" s="8" t="n">
        <v>1</v>
      </c>
      <c r="B8" s="4" t="inlineStr">
        <is>
          <t>Подписка на программу «Пульс клиники», тариф «Клиника», 1 месяц</t>
        </is>
      </c>
      <c r="C8" s="4" t="n">
        <v>1</v>
      </c>
      <c r="D8" s="9">
        <f>Реквизиты!B27</f>
        <v/>
      </c>
      <c r="E8" s="10">
        <f>IF(AND(ISNUMBER(C8),ISNUMBER(D8)),C8*D8,0)</f>
        <v/>
      </c>
    </row>
    <row r="9">
      <c r="A9" s="8" t="n">
        <v>2</v>
      </c>
      <c r="B9" s="4" t="inlineStr">
        <is>
          <t>Подключение: перенос данных, настройка, обучение</t>
        </is>
      </c>
      <c r="C9" s="4" t="n">
        <v>1</v>
      </c>
      <c r="D9" s="9">
        <f>Реквизиты!B29</f>
        <v/>
      </c>
      <c r="E9" s="10">
        <f>IF(AND(ISNUMBER(C9),ISNUMBER(D9)),C9*D9,0)</f>
        <v/>
      </c>
    </row>
    <row r="10">
      <c r="A10" s="8" t="n">
        <v>3</v>
      </c>
      <c r="B10" s="4" t="inlineStr"/>
      <c r="C10" s="4" t="n"/>
      <c r="D10" s="9" t="n"/>
      <c r="E10" s="10">
        <f>IF(AND(ISNUMBER(C10),ISNUMBER(D10)),C10*D10,0)</f>
        <v/>
      </c>
    </row>
    <row r="11">
      <c r="A11" s="8" t="n">
        <v>4</v>
      </c>
      <c r="B11" s="4" t="inlineStr"/>
      <c r="C11" s="4" t="n"/>
      <c r="D11" s="9" t="n"/>
      <c r="E11" s="10">
        <f>IF(AND(ISNUMBER(C11),ISNUMBER(D11)),C11*D11,0)</f>
        <v/>
      </c>
    </row>
    <row r="12">
      <c r="A12" s="8" t="n">
        <v>5</v>
      </c>
      <c r="B12" s="4" t="inlineStr"/>
      <c r="C12" s="4" t="n"/>
      <c r="D12" s="9" t="n"/>
      <c r="E12" s="10">
        <f>IF(AND(ISNUMBER(C12),ISNUMBER(D12)),C12*D12,0)</f>
        <v/>
      </c>
    </row>
    <row r="13">
      <c r="D13" s="3" t="inlineStr">
        <is>
          <t>Итого</t>
        </is>
      </c>
      <c r="E13" s="11">
        <f>SUM(E8:E12)</f>
        <v/>
      </c>
    </row>
    <row r="14">
      <c r="D14" t="inlineStr">
        <is>
          <t>НДС</t>
        </is>
      </c>
      <c r="E14" s="12" t="inlineStr">
        <is>
          <t>без НДС</t>
        </is>
      </c>
    </row>
    <row r="16">
      <c r="A16" s="3" t="inlineStr">
        <is>
          <t>Всего к оплате:</t>
        </is>
      </c>
      <c r="B16">
        <f>TEXT(E13,"#,##0")&amp;" тенге"</f>
        <v/>
      </c>
    </row>
    <row r="17">
      <c r="A17" s="3" t="inlineStr">
        <is>
          <t>Сумма прописью:</t>
        </is>
      </c>
      <c r="B17" s="13" t="inlineStr">
        <is>
          <t>введите вручную, например: сто девяносто девять тысяч тенге 00 тиын</t>
        </is>
      </c>
    </row>
    <row r="19">
      <c r="A19" t="inlineStr">
        <is>
          <t>Услуги оказаны в полном объёме и в срок. Заказчик претензий по объёму, качеству и срокам не имеет.</t>
        </is>
      </c>
    </row>
    <row r="21">
      <c r="A21" t="inlineStr">
        <is>
          <t>Исполнитель: ____________  / Имаканов Р. А. /</t>
        </is>
      </c>
    </row>
    <row r="22">
      <c r="A22" t="inlineStr">
        <is>
          <t>Заказчик: ____________  / _______________ /</t>
        </is>
      </c>
    </row>
  </sheetData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24" customWidth="1" min="4" max="4"/>
    <col width="28" customWidth="1" min="5" max="5"/>
    <col width="10" customWidth="1" min="6" max="6"/>
    <col width="14" customWidth="1" min="7" max="7"/>
    <col width="10" customWidth="1" min="8" max="8"/>
    <col width="30" customWidth="1" min="9" max="9"/>
    <col width="14" customWidth="1" min="10" max="10"/>
    <col width="24" customWidth="1" min="11" max="11"/>
    <col width="13" customWidth="1" min="12" max="12"/>
    <col width="10" customWidth="1" min="13" max="13"/>
    <col width="12" customWidth="1" min="14" max="14"/>
    <col width="10" customWidth="1" min="15" max="15"/>
    <col width="14" customWidth="1" min="16" max="16"/>
  </cols>
  <sheetData>
    <row r="1" ht="34" customHeight="1">
      <c r="A1" s="14" t="inlineStr">
        <is>
          <t>Клиника</t>
        </is>
      </c>
      <c r="B1" s="14" t="inlineStr">
        <is>
          <t>Город</t>
        </is>
      </c>
      <c r="C1" s="14" t="inlineStr">
        <is>
          <t>Страна</t>
        </is>
      </c>
      <c r="D1" s="14" t="inlineStr">
        <is>
          <t>Контакт (имя, должность)</t>
        </is>
      </c>
      <c r="E1" s="14" t="inlineStr">
        <is>
          <t>Почта / телефон</t>
        </is>
      </c>
      <c r="F1" s="14" t="inlineStr">
        <is>
          <t>Канал</t>
        </is>
      </c>
      <c r="G1" s="14" t="inlineStr">
        <is>
          <t>Дата 1-го письма</t>
        </is>
      </c>
      <c r="H1" s="14" t="inlineStr">
        <is>
          <t>Метка (utm)</t>
        </is>
      </c>
      <c r="I1" s="14" t="inlineStr">
        <is>
          <t>Ответ</t>
        </is>
      </c>
      <c r="J1" s="14" t="inlineStr">
        <is>
          <t>Статус</t>
        </is>
      </c>
      <c r="K1" s="14" t="inlineStr">
        <is>
          <t>Следующий шаг</t>
        </is>
      </c>
      <c r="L1" s="14" t="inlineStr">
        <is>
          <t>Когда</t>
        </is>
      </c>
      <c r="M1" s="14" t="inlineStr">
        <is>
          <t>Тариф</t>
        </is>
      </c>
      <c r="N1" s="14" t="inlineStr">
        <is>
          <t>Сумма, ₸</t>
        </is>
      </c>
      <c r="O1" s="14" t="inlineStr">
        <is>
          <t>Дней с письма</t>
        </is>
      </c>
      <c r="P1" s="14" t="inlineStr">
        <is>
          <t>Нужно напомнить?</t>
        </is>
      </c>
    </row>
    <row r="2">
      <c r="A2" s="15" t="inlineStr">
        <is>
          <t>MEDIKER</t>
        </is>
      </c>
      <c r="B2" s="15" t="inlineStr">
        <is>
          <t>Шымкент</t>
        </is>
      </c>
      <c r="C2" s="15" t="inlineStr">
        <is>
          <t>Казахстан</t>
        </is>
      </c>
      <c r="D2" s="15" t="inlineStr"/>
      <c r="E2" s="15" t="inlineStr">
        <is>
          <t>pochta@mediker.kz</t>
        </is>
      </c>
      <c r="F2" s="15" t="inlineStr">
        <is>
          <t>Почта</t>
        </is>
      </c>
      <c r="G2" s="16" t="n">
        <v>46319</v>
      </c>
      <c r="H2" s="15" t="inlineStr">
        <is>
          <t>kz1</t>
        </is>
      </c>
      <c r="I2" s="15" t="inlineStr"/>
      <c r="J2" s="15" t="inlineStr">
        <is>
          <t>Написали</t>
        </is>
      </c>
      <c r="K2" s="15" t="inlineStr">
        <is>
          <t>Напомнить</t>
        </is>
      </c>
      <c r="L2" s="16" t="n">
        <v>46322</v>
      </c>
      <c r="M2" s="15" t="inlineStr"/>
      <c r="N2" s="17" t="n"/>
      <c r="O2" s="8">
        <f>IF(G2="","",TODAY()-G2)</f>
        <v/>
      </c>
      <c r="P2" s="8">
        <f>IF(OR(G2="",J2="Оплатили",J2="Отказ",J2="Показ",J2="Пробный месяц"),"",IF(TODAY()-G2&gt;=3,"да",""))</f>
        <v/>
      </c>
    </row>
    <row r="3">
      <c r="A3" s="15" t="inlineStr">
        <is>
          <t>Эмирмед</t>
        </is>
      </c>
      <c r="B3" s="15" t="inlineStr">
        <is>
          <t>Астана</t>
        </is>
      </c>
      <c r="C3" s="15" t="inlineStr">
        <is>
          <t>Казахстан</t>
        </is>
      </c>
      <c r="D3" s="15" t="inlineStr"/>
      <c r="E3" s="15" t="inlineStr">
        <is>
          <t>emirmed@mail.ru</t>
        </is>
      </c>
      <c r="F3" s="15" t="inlineStr">
        <is>
          <t>Почта</t>
        </is>
      </c>
      <c r="G3" s="16" t="n">
        <v>46319</v>
      </c>
      <c r="H3" s="15" t="inlineStr">
        <is>
          <t>kz2</t>
        </is>
      </c>
      <c r="I3" s="15" t="inlineStr"/>
      <c r="J3" s="15" t="inlineStr">
        <is>
          <t>Написали</t>
        </is>
      </c>
      <c r="K3" s="15" t="inlineStr">
        <is>
          <t>Напомнить</t>
        </is>
      </c>
      <c r="L3" s="16" t="n">
        <v>46322</v>
      </c>
      <c r="M3" s="15" t="inlineStr"/>
      <c r="N3" s="17" t="n"/>
      <c r="O3" s="8">
        <f>IF(G3="","",TODAY()-G3)</f>
        <v/>
      </c>
      <c r="P3" s="8">
        <f>IF(OR(G3="",J3="Оплатили",J3="Отказ",J3="Показ",J3="Пробный месяц"),"",IF(TODAY()-G3&gt;=3,"да",""))</f>
        <v/>
      </c>
    </row>
    <row r="4">
      <c r="A4" s="15" t="inlineStr">
        <is>
          <t>AKFA Medline</t>
        </is>
      </c>
      <c r="B4" s="15" t="inlineStr">
        <is>
          <t>Ташкент</t>
        </is>
      </c>
      <c r="C4" s="15" t="inlineStr">
        <is>
          <t>Узбекистан</t>
        </is>
      </c>
      <c r="D4" s="15" t="inlineStr"/>
      <c r="E4" s="15" t="inlineStr">
        <is>
          <t>info@akfamedline.uz</t>
        </is>
      </c>
      <c r="F4" s="15" t="inlineStr">
        <is>
          <t>Почта</t>
        </is>
      </c>
      <c r="G4" s="16" t="n">
        <v>46319</v>
      </c>
      <c r="H4" s="15" t="inlineStr">
        <is>
          <t>uz1</t>
        </is>
      </c>
      <c r="I4" s="15" t="inlineStr"/>
      <c r="J4" s="15" t="inlineStr">
        <is>
          <t>Написали</t>
        </is>
      </c>
      <c r="K4" s="15" t="inlineStr">
        <is>
          <t>Напомнить</t>
        </is>
      </c>
      <c r="L4" s="16" t="n">
        <v>46322</v>
      </c>
      <c r="M4" s="15" t="inlineStr"/>
      <c r="N4" s="17" t="n"/>
      <c r="O4" s="8">
        <f>IF(G4="","",TODAY()-G4)</f>
        <v/>
      </c>
      <c r="P4" s="8">
        <f>IF(OR(G4="",J4="Оплатили",J4="Отказ",J4="Показ",J4="Пробный месяц"),"",IF(TODAY()-G4&gt;=3,"да",""))</f>
        <v/>
      </c>
    </row>
    <row r="5">
      <c r="A5" s="15" t="n"/>
      <c r="B5" s="15" t="n"/>
      <c r="C5" s="15" t="n"/>
      <c r="D5" s="15" t="n"/>
      <c r="E5" s="15" t="n"/>
      <c r="F5" s="15" t="n"/>
      <c r="G5" s="16" t="n"/>
      <c r="H5" s="15" t="n"/>
      <c r="I5" s="15" t="n"/>
      <c r="J5" s="15" t="n"/>
      <c r="K5" s="15" t="n"/>
      <c r="L5" s="16" t="n"/>
      <c r="M5" s="15" t="n"/>
      <c r="N5" s="17" t="n"/>
      <c r="O5" s="8">
        <f>IF(G5="","",TODAY()-G5)</f>
        <v/>
      </c>
      <c r="P5" s="8">
        <f>IF(OR(G5="",J5="Оплатили",J5="Отказ",J5="Показ",J5="Пробный месяц"),"",IF(TODAY()-G5&gt;=3,"да",""))</f>
        <v/>
      </c>
    </row>
    <row r="6">
      <c r="A6" s="15" t="n"/>
      <c r="B6" s="15" t="n"/>
      <c r="C6" s="15" t="n"/>
      <c r="D6" s="15" t="n"/>
      <c r="E6" s="15" t="n"/>
      <c r="F6" s="15" t="n"/>
      <c r="G6" s="16" t="n"/>
      <c r="H6" s="15" t="n"/>
      <c r="I6" s="15" t="n"/>
      <c r="J6" s="15" t="n"/>
      <c r="K6" s="15" t="n"/>
      <c r="L6" s="16" t="n"/>
      <c r="M6" s="15" t="n"/>
      <c r="N6" s="17" t="n"/>
      <c r="O6" s="8">
        <f>IF(G6="","",TODAY()-G6)</f>
        <v/>
      </c>
      <c r="P6" s="8">
        <f>IF(OR(G6="",J6="Оплатили",J6="Отказ",J6="Показ",J6="Пробный месяц"),"",IF(TODAY()-G6&gt;=3,"да",""))</f>
        <v/>
      </c>
    </row>
    <row r="7">
      <c r="A7" s="15" t="n"/>
      <c r="B7" s="15" t="n"/>
      <c r="C7" s="15" t="n"/>
      <c r="D7" s="15" t="n"/>
      <c r="E7" s="15" t="n"/>
      <c r="F7" s="15" t="n"/>
      <c r="G7" s="16" t="n"/>
      <c r="H7" s="15" t="n"/>
      <c r="I7" s="15" t="n"/>
      <c r="J7" s="15" t="n"/>
      <c r="K7" s="15" t="n"/>
      <c r="L7" s="16" t="n"/>
      <c r="M7" s="15" t="n"/>
      <c r="N7" s="17" t="n"/>
      <c r="O7" s="8">
        <f>IF(G7="","",TODAY()-G7)</f>
        <v/>
      </c>
      <c r="P7" s="8">
        <f>IF(OR(G7="",J7="Оплатили",J7="Отказ",J7="Показ",J7="Пробный месяц"),"",IF(TODAY()-G7&gt;=3,"да",""))</f>
        <v/>
      </c>
    </row>
    <row r="8">
      <c r="A8" s="15" t="n"/>
      <c r="B8" s="15" t="n"/>
      <c r="C8" s="15" t="n"/>
      <c r="D8" s="15" t="n"/>
      <c r="E8" s="15" t="n"/>
      <c r="F8" s="15" t="n"/>
      <c r="G8" s="16" t="n"/>
      <c r="H8" s="15" t="n"/>
      <c r="I8" s="15" t="n"/>
      <c r="J8" s="15" t="n"/>
      <c r="K8" s="15" t="n"/>
      <c r="L8" s="16" t="n"/>
      <c r="M8" s="15" t="n"/>
      <c r="N8" s="17" t="n"/>
      <c r="O8" s="8">
        <f>IF(G8="","",TODAY()-G8)</f>
        <v/>
      </c>
      <c r="P8" s="8">
        <f>IF(OR(G8="",J8="Оплатили",J8="Отказ",J8="Показ",J8="Пробный месяц"),"",IF(TODAY()-G8&gt;=3,"да",""))</f>
        <v/>
      </c>
    </row>
    <row r="9">
      <c r="A9" s="15" t="n"/>
      <c r="B9" s="15" t="n"/>
      <c r="C9" s="15" t="n"/>
      <c r="D9" s="15" t="n"/>
      <c r="E9" s="15" t="n"/>
      <c r="F9" s="15" t="n"/>
      <c r="G9" s="16" t="n"/>
      <c r="H9" s="15" t="n"/>
      <c r="I9" s="15" t="n"/>
      <c r="J9" s="15" t="n"/>
      <c r="K9" s="15" t="n"/>
      <c r="L9" s="16" t="n"/>
      <c r="M9" s="15" t="n"/>
      <c r="N9" s="17" t="n"/>
      <c r="O9" s="8">
        <f>IF(G9="","",TODAY()-G9)</f>
        <v/>
      </c>
      <c r="P9" s="8">
        <f>IF(OR(G9="",J9="Оплатили",J9="Отказ",J9="Показ",J9="Пробный месяц"),"",IF(TODAY()-G9&gt;=3,"да",""))</f>
        <v/>
      </c>
    </row>
    <row r="10">
      <c r="A10" s="15" t="n"/>
      <c r="B10" s="15" t="n"/>
      <c r="C10" s="15" t="n"/>
      <c r="D10" s="15" t="n"/>
      <c r="E10" s="15" t="n"/>
      <c r="F10" s="15" t="n"/>
      <c r="G10" s="16" t="n"/>
      <c r="H10" s="15" t="n"/>
      <c r="I10" s="15" t="n"/>
      <c r="J10" s="15" t="n"/>
      <c r="K10" s="15" t="n"/>
      <c r="L10" s="16" t="n"/>
      <c r="M10" s="15" t="n"/>
      <c r="N10" s="17" t="n"/>
      <c r="O10" s="8">
        <f>IF(G10="","",TODAY()-G10)</f>
        <v/>
      </c>
      <c r="P10" s="8">
        <f>IF(OR(G10="",J10="Оплатили",J10="Отказ",J10="Показ",J10="Пробный месяц"),"",IF(TODAY()-G10&gt;=3,"да",""))</f>
        <v/>
      </c>
    </row>
    <row r="11">
      <c r="A11" s="15" t="n"/>
      <c r="B11" s="15" t="n"/>
      <c r="C11" s="15" t="n"/>
      <c r="D11" s="15" t="n"/>
      <c r="E11" s="15" t="n"/>
      <c r="F11" s="15" t="n"/>
      <c r="G11" s="16" t="n"/>
      <c r="H11" s="15" t="n"/>
      <c r="I11" s="15" t="n"/>
      <c r="J11" s="15" t="n"/>
      <c r="K11" s="15" t="n"/>
      <c r="L11" s="16" t="n"/>
      <c r="M11" s="15" t="n"/>
      <c r="N11" s="17" t="n"/>
      <c r="O11" s="8">
        <f>IF(G11="","",TODAY()-G11)</f>
        <v/>
      </c>
      <c r="P11" s="8">
        <f>IF(OR(G11="",J11="Оплатили",J11="Отказ",J11="Показ",J11="Пробный месяц"),"",IF(TODAY()-G11&gt;=3,"да",""))</f>
        <v/>
      </c>
    </row>
    <row r="12">
      <c r="A12" s="15" t="n"/>
      <c r="B12" s="15" t="n"/>
      <c r="C12" s="15" t="n"/>
      <c r="D12" s="15" t="n"/>
      <c r="E12" s="15" t="n"/>
      <c r="F12" s="15" t="n"/>
      <c r="G12" s="16" t="n"/>
      <c r="H12" s="15" t="n"/>
      <c r="I12" s="15" t="n"/>
      <c r="J12" s="15" t="n"/>
      <c r="K12" s="15" t="n"/>
      <c r="L12" s="16" t="n"/>
      <c r="M12" s="15" t="n"/>
      <c r="N12" s="17" t="n"/>
      <c r="O12" s="8">
        <f>IF(G12="","",TODAY()-G12)</f>
        <v/>
      </c>
      <c r="P12" s="8">
        <f>IF(OR(G12="",J12="Оплатили",J12="Отказ",J12="Показ",J12="Пробный месяц"),"",IF(TODAY()-G12&gt;=3,"да",""))</f>
        <v/>
      </c>
    </row>
    <row r="13">
      <c r="A13" s="15" t="n"/>
      <c r="B13" s="15" t="n"/>
      <c r="C13" s="15" t="n"/>
      <c r="D13" s="15" t="n"/>
      <c r="E13" s="15" t="n"/>
      <c r="F13" s="15" t="n"/>
      <c r="G13" s="16" t="n"/>
      <c r="H13" s="15" t="n"/>
      <c r="I13" s="15" t="n"/>
      <c r="J13" s="15" t="n"/>
      <c r="K13" s="15" t="n"/>
      <c r="L13" s="16" t="n"/>
      <c r="M13" s="15" t="n"/>
      <c r="N13" s="17" t="n"/>
      <c r="O13" s="8">
        <f>IF(G13="","",TODAY()-G13)</f>
        <v/>
      </c>
      <c r="P13" s="8">
        <f>IF(OR(G13="",J13="Оплатили",J13="Отказ",J13="Показ",J13="Пробный месяц"),"",IF(TODAY()-G13&gt;=3,"да",""))</f>
        <v/>
      </c>
    </row>
    <row r="14">
      <c r="A14" s="15" t="n"/>
      <c r="B14" s="15" t="n"/>
      <c r="C14" s="15" t="n"/>
      <c r="D14" s="15" t="n"/>
      <c r="E14" s="15" t="n"/>
      <c r="F14" s="15" t="n"/>
      <c r="G14" s="16" t="n"/>
      <c r="H14" s="15" t="n"/>
      <c r="I14" s="15" t="n"/>
      <c r="J14" s="15" t="n"/>
      <c r="K14" s="15" t="n"/>
      <c r="L14" s="16" t="n"/>
      <c r="M14" s="15" t="n"/>
      <c r="N14" s="17" t="n"/>
      <c r="O14" s="8">
        <f>IF(G14="","",TODAY()-G14)</f>
        <v/>
      </c>
      <c r="P14" s="8">
        <f>IF(OR(G14="",J14="Оплатили",J14="Отказ",J14="Показ",J14="Пробный месяц"),"",IF(TODAY()-G14&gt;=3,"да",""))</f>
        <v/>
      </c>
    </row>
    <row r="15">
      <c r="A15" s="15" t="n"/>
      <c r="B15" s="15" t="n"/>
      <c r="C15" s="15" t="n"/>
      <c r="D15" s="15" t="n"/>
      <c r="E15" s="15" t="n"/>
      <c r="F15" s="15" t="n"/>
      <c r="G15" s="16" t="n"/>
      <c r="H15" s="15" t="n"/>
      <c r="I15" s="15" t="n"/>
      <c r="J15" s="15" t="n"/>
      <c r="K15" s="15" t="n"/>
      <c r="L15" s="16" t="n"/>
      <c r="M15" s="15" t="n"/>
      <c r="N15" s="17" t="n"/>
      <c r="O15" s="8">
        <f>IF(G15="","",TODAY()-G15)</f>
        <v/>
      </c>
      <c r="P15" s="8">
        <f>IF(OR(G15="",J15="Оплатили",J15="Отказ",J15="Показ",J15="Пробный месяц"),"",IF(TODAY()-G15&gt;=3,"да",""))</f>
        <v/>
      </c>
    </row>
    <row r="16">
      <c r="A16" s="15" t="n"/>
      <c r="B16" s="15" t="n"/>
      <c r="C16" s="15" t="n"/>
      <c r="D16" s="15" t="n"/>
      <c r="E16" s="15" t="n"/>
      <c r="F16" s="15" t="n"/>
      <c r="G16" s="16" t="n"/>
      <c r="H16" s="15" t="n"/>
      <c r="I16" s="15" t="n"/>
      <c r="J16" s="15" t="n"/>
      <c r="K16" s="15" t="n"/>
      <c r="L16" s="16" t="n"/>
      <c r="M16" s="15" t="n"/>
      <c r="N16" s="17" t="n"/>
      <c r="O16" s="8">
        <f>IF(G16="","",TODAY()-G16)</f>
        <v/>
      </c>
      <c r="P16" s="8">
        <f>IF(OR(G16="",J16="Оплатили",J16="Отказ",J16="Показ",J16="Пробный месяц"),"",IF(TODAY()-G16&gt;=3,"да",""))</f>
        <v/>
      </c>
    </row>
    <row r="17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  <c r="J17" s="15" t="n"/>
      <c r="K17" s="15" t="n"/>
      <c r="L17" s="16" t="n"/>
      <c r="M17" s="15" t="n"/>
      <c r="N17" s="17" t="n"/>
      <c r="O17" s="8">
        <f>IF(G17="","",TODAY()-G17)</f>
        <v/>
      </c>
      <c r="P17" s="8">
        <f>IF(OR(G17="",J17="Оплатили",J17="Отказ",J17="Показ",J17="Пробный месяц"),"",IF(TODAY()-G17&gt;=3,"да",""))</f>
        <v/>
      </c>
    </row>
    <row r="18">
      <c r="A18" s="15" t="n"/>
      <c r="B18" s="15" t="n"/>
      <c r="C18" s="15" t="n"/>
      <c r="D18" s="15" t="n"/>
      <c r="E18" s="15" t="n"/>
      <c r="F18" s="15" t="n"/>
      <c r="G18" s="16" t="n"/>
      <c r="H18" s="15" t="n"/>
      <c r="I18" s="15" t="n"/>
      <c r="J18" s="15" t="n"/>
      <c r="K18" s="15" t="n"/>
      <c r="L18" s="16" t="n"/>
      <c r="M18" s="15" t="n"/>
      <c r="N18" s="17" t="n"/>
      <c r="O18" s="8">
        <f>IF(G18="","",TODAY()-G18)</f>
        <v/>
      </c>
      <c r="P18" s="8">
        <f>IF(OR(G18="",J18="Оплатили",J18="Отказ",J18="Показ",J18="Пробный месяц"),"",IF(TODAY()-G18&gt;=3,"да",""))</f>
        <v/>
      </c>
    </row>
    <row r="19">
      <c r="A19" s="15" t="n"/>
      <c r="B19" s="15" t="n"/>
      <c r="C19" s="15" t="n"/>
      <c r="D19" s="15" t="n"/>
      <c r="E19" s="15" t="n"/>
      <c r="F19" s="15" t="n"/>
      <c r="G19" s="16" t="n"/>
      <c r="H19" s="15" t="n"/>
      <c r="I19" s="15" t="n"/>
      <c r="J19" s="15" t="n"/>
      <c r="K19" s="15" t="n"/>
      <c r="L19" s="16" t="n"/>
      <c r="M19" s="15" t="n"/>
      <c r="N19" s="17" t="n"/>
      <c r="O19" s="8">
        <f>IF(G19="","",TODAY()-G19)</f>
        <v/>
      </c>
      <c r="P19" s="8">
        <f>IF(OR(G19="",J19="Оплатили",J19="Отказ",J19="Показ",J19="Пробный месяц"),"",IF(TODAY()-G19&gt;=3,"да",""))</f>
        <v/>
      </c>
    </row>
    <row r="20">
      <c r="A20" s="15" t="n"/>
      <c r="B20" s="15" t="n"/>
      <c r="C20" s="15" t="n"/>
      <c r="D20" s="15" t="n"/>
      <c r="E20" s="15" t="n"/>
      <c r="F20" s="15" t="n"/>
      <c r="G20" s="16" t="n"/>
      <c r="H20" s="15" t="n"/>
      <c r="I20" s="15" t="n"/>
      <c r="J20" s="15" t="n"/>
      <c r="K20" s="15" t="n"/>
      <c r="L20" s="16" t="n"/>
      <c r="M20" s="15" t="n"/>
      <c r="N20" s="17" t="n"/>
      <c r="O20" s="8">
        <f>IF(G20="","",TODAY()-G20)</f>
        <v/>
      </c>
      <c r="P20" s="8">
        <f>IF(OR(G20="",J20="Оплатили",J20="Отказ",J20="Показ",J20="Пробный месяц"),"",IF(TODAY()-G20&gt;=3,"да",""))</f>
        <v/>
      </c>
    </row>
    <row r="21">
      <c r="A21" s="15" t="n"/>
      <c r="B21" s="15" t="n"/>
      <c r="C21" s="15" t="n"/>
      <c r="D21" s="15" t="n"/>
      <c r="E21" s="15" t="n"/>
      <c r="F21" s="15" t="n"/>
      <c r="G21" s="16" t="n"/>
      <c r="H21" s="15" t="n"/>
      <c r="I21" s="15" t="n"/>
      <c r="J21" s="15" t="n"/>
      <c r="K21" s="15" t="n"/>
      <c r="L21" s="16" t="n"/>
      <c r="M21" s="15" t="n"/>
      <c r="N21" s="17" t="n"/>
      <c r="O21" s="8">
        <f>IF(G21="","",TODAY()-G21)</f>
        <v/>
      </c>
      <c r="P21" s="8">
        <f>IF(OR(G21="",J21="Оплатили",J21="Отказ",J21="Показ",J21="Пробный месяц"),"",IF(TODAY()-G21&gt;=3,"да",""))</f>
        <v/>
      </c>
    </row>
    <row r="22">
      <c r="A22" s="15" t="n"/>
      <c r="B22" s="15" t="n"/>
      <c r="C22" s="15" t="n"/>
      <c r="D22" s="15" t="n"/>
      <c r="E22" s="15" t="n"/>
      <c r="F22" s="15" t="n"/>
      <c r="G22" s="16" t="n"/>
      <c r="H22" s="15" t="n"/>
      <c r="I22" s="15" t="n"/>
      <c r="J22" s="15" t="n"/>
      <c r="K22" s="15" t="n"/>
      <c r="L22" s="16" t="n"/>
      <c r="M22" s="15" t="n"/>
      <c r="N22" s="17" t="n"/>
      <c r="O22" s="8">
        <f>IF(G22="","",TODAY()-G22)</f>
        <v/>
      </c>
      <c r="P22" s="8">
        <f>IF(OR(G22="",J22="Оплатили",J22="Отказ",J22="Показ",J22="Пробный месяц"),"",IF(TODAY()-G22&gt;=3,"да",""))</f>
        <v/>
      </c>
    </row>
    <row r="23">
      <c r="A23" s="15" t="n"/>
      <c r="B23" s="15" t="n"/>
      <c r="C23" s="15" t="n"/>
      <c r="D23" s="15" t="n"/>
      <c r="E23" s="15" t="n"/>
      <c r="F23" s="15" t="n"/>
      <c r="G23" s="16" t="n"/>
      <c r="H23" s="15" t="n"/>
      <c r="I23" s="15" t="n"/>
      <c r="J23" s="15" t="n"/>
      <c r="K23" s="15" t="n"/>
      <c r="L23" s="16" t="n"/>
      <c r="M23" s="15" t="n"/>
      <c r="N23" s="17" t="n"/>
      <c r="O23" s="8">
        <f>IF(G23="","",TODAY()-G23)</f>
        <v/>
      </c>
      <c r="P23" s="8">
        <f>IF(OR(G23="",J23="Оплатили",J23="Отказ",J23="Показ",J23="Пробный месяц"),"",IF(TODAY()-G23&gt;=3,"да",""))</f>
        <v/>
      </c>
    </row>
    <row r="24">
      <c r="A24" s="15" t="n"/>
      <c r="B24" s="15" t="n"/>
      <c r="C24" s="15" t="n"/>
      <c r="D24" s="15" t="n"/>
      <c r="E24" s="15" t="n"/>
      <c r="F24" s="15" t="n"/>
      <c r="G24" s="16" t="n"/>
      <c r="H24" s="15" t="n"/>
      <c r="I24" s="15" t="n"/>
      <c r="J24" s="15" t="n"/>
      <c r="K24" s="15" t="n"/>
      <c r="L24" s="16" t="n"/>
      <c r="M24" s="15" t="n"/>
      <c r="N24" s="17" t="n"/>
      <c r="O24" s="8">
        <f>IF(G24="","",TODAY()-G24)</f>
        <v/>
      </c>
      <c r="P24" s="8">
        <f>IF(OR(G24="",J24="Оплатили",J24="Отказ",J24="Показ",J24="Пробный месяц"),"",IF(TODAY()-G24&gt;=3,"да",""))</f>
        <v/>
      </c>
    </row>
    <row r="25">
      <c r="A25" s="15" t="n"/>
      <c r="B25" s="15" t="n"/>
      <c r="C25" s="15" t="n"/>
      <c r="D25" s="15" t="n"/>
      <c r="E25" s="15" t="n"/>
      <c r="F25" s="15" t="n"/>
      <c r="G25" s="16" t="n"/>
      <c r="H25" s="15" t="n"/>
      <c r="I25" s="15" t="n"/>
      <c r="J25" s="15" t="n"/>
      <c r="K25" s="15" t="n"/>
      <c r="L25" s="16" t="n"/>
      <c r="M25" s="15" t="n"/>
      <c r="N25" s="17" t="n"/>
      <c r="O25" s="8">
        <f>IF(G25="","",TODAY()-G25)</f>
        <v/>
      </c>
      <c r="P25" s="8">
        <f>IF(OR(G25="",J25="Оплатили",J25="Отказ",J25="Показ",J25="Пробный месяц"),"",IF(TODAY()-G25&gt;=3,"да",""))</f>
        <v/>
      </c>
    </row>
    <row r="26">
      <c r="A26" s="15" t="n"/>
      <c r="B26" s="15" t="n"/>
      <c r="C26" s="15" t="n"/>
      <c r="D26" s="15" t="n"/>
      <c r="E26" s="15" t="n"/>
      <c r="F26" s="15" t="n"/>
      <c r="G26" s="16" t="n"/>
      <c r="H26" s="15" t="n"/>
      <c r="I26" s="15" t="n"/>
      <c r="J26" s="15" t="n"/>
      <c r="K26" s="15" t="n"/>
      <c r="L26" s="16" t="n"/>
      <c r="M26" s="15" t="n"/>
      <c r="N26" s="17" t="n"/>
      <c r="O26" s="8">
        <f>IF(G26="","",TODAY()-G26)</f>
        <v/>
      </c>
      <c r="P26" s="8">
        <f>IF(OR(G26="",J26="Оплатили",J26="Отказ",J26="Показ",J26="Пробный месяц"),"",IF(TODAY()-G26&gt;=3,"да",""))</f>
        <v/>
      </c>
    </row>
    <row r="27">
      <c r="A27" s="15" t="n"/>
      <c r="B27" s="15" t="n"/>
      <c r="C27" s="15" t="n"/>
      <c r="D27" s="15" t="n"/>
      <c r="E27" s="15" t="n"/>
      <c r="F27" s="15" t="n"/>
      <c r="G27" s="16" t="n"/>
      <c r="H27" s="15" t="n"/>
      <c r="I27" s="15" t="n"/>
      <c r="J27" s="15" t="n"/>
      <c r="K27" s="15" t="n"/>
      <c r="L27" s="16" t="n"/>
      <c r="M27" s="15" t="n"/>
      <c r="N27" s="17" t="n"/>
      <c r="O27" s="8">
        <f>IF(G27="","",TODAY()-G27)</f>
        <v/>
      </c>
      <c r="P27" s="8">
        <f>IF(OR(G27="",J27="Оплатили",J27="Отказ",J27="Показ",J27="Пробный месяц"),"",IF(TODAY()-G27&gt;=3,"да",""))</f>
        <v/>
      </c>
    </row>
    <row r="28">
      <c r="A28" s="15" t="n"/>
      <c r="B28" s="15" t="n"/>
      <c r="C28" s="15" t="n"/>
      <c r="D28" s="15" t="n"/>
      <c r="E28" s="15" t="n"/>
      <c r="F28" s="15" t="n"/>
      <c r="G28" s="16" t="n"/>
      <c r="H28" s="15" t="n"/>
      <c r="I28" s="15" t="n"/>
      <c r="J28" s="15" t="n"/>
      <c r="K28" s="15" t="n"/>
      <c r="L28" s="16" t="n"/>
      <c r="M28" s="15" t="n"/>
      <c r="N28" s="17" t="n"/>
      <c r="O28" s="8">
        <f>IF(G28="","",TODAY()-G28)</f>
        <v/>
      </c>
      <c r="P28" s="8">
        <f>IF(OR(G28="",J28="Оплатили",J28="Отказ",J28="Показ",J28="Пробный месяц"),"",IF(TODAY()-G28&gt;=3,"да",""))</f>
        <v/>
      </c>
    </row>
    <row r="29">
      <c r="A29" s="15" t="n"/>
      <c r="B29" s="15" t="n"/>
      <c r="C29" s="15" t="n"/>
      <c r="D29" s="15" t="n"/>
      <c r="E29" s="15" t="n"/>
      <c r="F29" s="15" t="n"/>
      <c r="G29" s="16" t="n"/>
      <c r="H29" s="15" t="n"/>
      <c r="I29" s="15" t="n"/>
      <c r="J29" s="15" t="n"/>
      <c r="K29" s="15" t="n"/>
      <c r="L29" s="16" t="n"/>
      <c r="M29" s="15" t="n"/>
      <c r="N29" s="17" t="n"/>
      <c r="O29" s="8">
        <f>IF(G29="","",TODAY()-G29)</f>
        <v/>
      </c>
      <c r="P29" s="8">
        <f>IF(OR(G29="",J29="Оплатили",J29="Отказ",J29="Показ",J29="Пробный месяц"),"",IF(TODAY()-G29&gt;=3,"да",""))</f>
        <v/>
      </c>
    </row>
    <row r="30">
      <c r="A30" s="15" t="n"/>
      <c r="B30" s="15" t="n"/>
      <c r="C30" s="15" t="n"/>
      <c r="D30" s="15" t="n"/>
      <c r="E30" s="15" t="n"/>
      <c r="F30" s="15" t="n"/>
      <c r="G30" s="16" t="n"/>
      <c r="H30" s="15" t="n"/>
      <c r="I30" s="15" t="n"/>
      <c r="J30" s="15" t="n"/>
      <c r="K30" s="15" t="n"/>
      <c r="L30" s="16" t="n"/>
      <c r="M30" s="15" t="n"/>
      <c r="N30" s="17" t="n"/>
      <c r="O30" s="8">
        <f>IF(G30="","",TODAY()-G30)</f>
        <v/>
      </c>
      <c r="P30" s="8">
        <f>IF(OR(G30="",J30="Оплатили",J30="Отказ",J30="Показ",J30="Пробный месяц"),"",IF(TODAY()-G30&gt;=3,"да",""))</f>
        <v/>
      </c>
    </row>
    <row r="31">
      <c r="A31" s="15" t="n"/>
      <c r="B31" s="15" t="n"/>
      <c r="C31" s="15" t="n"/>
      <c r="D31" s="15" t="n"/>
      <c r="E31" s="15" t="n"/>
      <c r="F31" s="15" t="n"/>
      <c r="G31" s="16" t="n"/>
      <c r="H31" s="15" t="n"/>
      <c r="I31" s="15" t="n"/>
      <c r="J31" s="15" t="n"/>
      <c r="K31" s="15" t="n"/>
      <c r="L31" s="16" t="n"/>
      <c r="M31" s="15" t="n"/>
      <c r="N31" s="17" t="n"/>
      <c r="O31" s="8">
        <f>IF(G31="","",TODAY()-G31)</f>
        <v/>
      </c>
      <c r="P31" s="8">
        <f>IF(OR(G31="",J31="Оплатили",J31="Отказ",J31="Показ",J31="Пробный месяц"),"",IF(TODAY()-G31&gt;=3,"да",""))</f>
        <v/>
      </c>
    </row>
    <row r="32">
      <c r="A32" s="15" t="n"/>
      <c r="B32" s="15" t="n"/>
      <c r="C32" s="15" t="n"/>
      <c r="D32" s="15" t="n"/>
      <c r="E32" s="15" t="n"/>
      <c r="F32" s="15" t="n"/>
      <c r="G32" s="16" t="n"/>
      <c r="H32" s="15" t="n"/>
      <c r="I32" s="15" t="n"/>
      <c r="J32" s="15" t="n"/>
      <c r="K32" s="15" t="n"/>
      <c r="L32" s="16" t="n"/>
      <c r="M32" s="15" t="n"/>
      <c r="N32" s="17" t="n"/>
      <c r="O32" s="8">
        <f>IF(G32="","",TODAY()-G32)</f>
        <v/>
      </c>
      <c r="P32" s="8">
        <f>IF(OR(G32="",J32="Оплатили",J32="Отказ",J32="Показ",J32="Пробный месяц"),"",IF(TODAY()-G32&gt;=3,"да",""))</f>
        <v/>
      </c>
    </row>
    <row r="33">
      <c r="A33" s="15" t="n"/>
      <c r="B33" s="15" t="n"/>
      <c r="C33" s="15" t="n"/>
      <c r="D33" s="15" t="n"/>
      <c r="E33" s="15" t="n"/>
      <c r="F33" s="15" t="n"/>
      <c r="G33" s="16" t="n"/>
      <c r="H33" s="15" t="n"/>
      <c r="I33" s="15" t="n"/>
      <c r="J33" s="15" t="n"/>
      <c r="K33" s="15" t="n"/>
      <c r="L33" s="16" t="n"/>
      <c r="M33" s="15" t="n"/>
      <c r="N33" s="17" t="n"/>
      <c r="O33" s="8">
        <f>IF(G33="","",TODAY()-G33)</f>
        <v/>
      </c>
      <c r="P33" s="8">
        <f>IF(OR(G33="",J33="Оплатили",J33="Отказ",J33="Показ",J33="Пробный месяц"),"",IF(TODAY()-G33&gt;=3,"да",""))</f>
        <v/>
      </c>
    </row>
    <row r="34">
      <c r="A34" s="15" t="n"/>
      <c r="B34" s="15" t="n"/>
      <c r="C34" s="15" t="n"/>
      <c r="D34" s="15" t="n"/>
      <c r="E34" s="15" t="n"/>
      <c r="F34" s="15" t="n"/>
      <c r="G34" s="16" t="n"/>
      <c r="H34" s="15" t="n"/>
      <c r="I34" s="15" t="n"/>
      <c r="J34" s="15" t="n"/>
      <c r="K34" s="15" t="n"/>
      <c r="L34" s="16" t="n"/>
      <c r="M34" s="15" t="n"/>
      <c r="N34" s="17" t="n"/>
      <c r="O34" s="8">
        <f>IF(G34="","",TODAY()-G34)</f>
        <v/>
      </c>
      <c r="P34" s="8">
        <f>IF(OR(G34="",J34="Оплатили",J34="Отказ",J34="Показ",J34="Пробный месяц"),"",IF(TODAY()-G34&gt;=3,"да",""))</f>
        <v/>
      </c>
    </row>
    <row r="35">
      <c r="A35" s="15" t="n"/>
      <c r="B35" s="15" t="n"/>
      <c r="C35" s="15" t="n"/>
      <c r="D35" s="15" t="n"/>
      <c r="E35" s="15" t="n"/>
      <c r="F35" s="15" t="n"/>
      <c r="G35" s="16" t="n"/>
      <c r="H35" s="15" t="n"/>
      <c r="I35" s="15" t="n"/>
      <c r="J35" s="15" t="n"/>
      <c r="K35" s="15" t="n"/>
      <c r="L35" s="16" t="n"/>
      <c r="M35" s="15" t="n"/>
      <c r="N35" s="17" t="n"/>
      <c r="O35" s="8">
        <f>IF(G35="","",TODAY()-G35)</f>
        <v/>
      </c>
      <c r="P35" s="8">
        <f>IF(OR(G35="",J35="Оплатили",J35="Отказ",J35="Показ",J35="Пробный месяц"),"",IF(TODAY()-G35&gt;=3,"да",""))</f>
        <v/>
      </c>
    </row>
    <row r="36">
      <c r="A36" s="15" t="n"/>
      <c r="B36" s="15" t="n"/>
      <c r="C36" s="15" t="n"/>
      <c r="D36" s="15" t="n"/>
      <c r="E36" s="15" t="n"/>
      <c r="F36" s="15" t="n"/>
      <c r="G36" s="16" t="n"/>
      <c r="H36" s="15" t="n"/>
      <c r="I36" s="15" t="n"/>
      <c r="J36" s="15" t="n"/>
      <c r="K36" s="15" t="n"/>
      <c r="L36" s="16" t="n"/>
      <c r="M36" s="15" t="n"/>
      <c r="N36" s="17" t="n"/>
      <c r="O36" s="8">
        <f>IF(G36="","",TODAY()-G36)</f>
        <v/>
      </c>
      <c r="P36" s="8">
        <f>IF(OR(G36="",J36="Оплатили",J36="Отказ",J36="Показ",J36="Пробный месяц"),"",IF(TODAY()-G36&gt;=3,"да",""))</f>
        <v/>
      </c>
    </row>
    <row r="37">
      <c r="A37" s="15" t="n"/>
      <c r="B37" s="15" t="n"/>
      <c r="C37" s="15" t="n"/>
      <c r="D37" s="15" t="n"/>
      <c r="E37" s="15" t="n"/>
      <c r="F37" s="15" t="n"/>
      <c r="G37" s="16" t="n"/>
      <c r="H37" s="15" t="n"/>
      <c r="I37" s="15" t="n"/>
      <c r="J37" s="15" t="n"/>
      <c r="K37" s="15" t="n"/>
      <c r="L37" s="16" t="n"/>
      <c r="M37" s="15" t="n"/>
      <c r="N37" s="17" t="n"/>
      <c r="O37" s="8">
        <f>IF(G37="","",TODAY()-G37)</f>
        <v/>
      </c>
      <c r="P37" s="8">
        <f>IF(OR(G37="",J37="Оплатили",J37="Отказ",J37="Показ",J37="Пробный месяц"),"",IF(TODAY()-G37&gt;=3,"да",""))</f>
        <v/>
      </c>
    </row>
    <row r="38">
      <c r="A38" s="15" t="n"/>
      <c r="B38" s="15" t="n"/>
      <c r="C38" s="15" t="n"/>
      <c r="D38" s="15" t="n"/>
      <c r="E38" s="15" t="n"/>
      <c r="F38" s="15" t="n"/>
      <c r="G38" s="16" t="n"/>
      <c r="H38" s="15" t="n"/>
      <c r="I38" s="15" t="n"/>
      <c r="J38" s="15" t="n"/>
      <c r="K38" s="15" t="n"/>
      <c r="L38" s="16" t="n"/>
      <c r="M38" s="15" t="n"/>
      <c r="N38" s="17" t="n"/>
      <c r="O38" s="8">
        <f>IF(G38="","",TODAY()-G38)</f>
        <v/>
      </c>
      <c r="P38" s="8">
        <f>IF(OR(G38="",J38="Оплатили",J38="Отказ",J38="Показ",J38="Пробный месяц"),"",IF(TODAY()-G38&gt;=3,"да",""))</f>
        <v/>
      </c>
    </row>
    <row r="39">
      <c r="A39" s="15" t="n"/>
      <c r="B39" s="15" t="n"/>
      <c r="C39" s="15" t="n"/>
      <c r="D39" s="15" t="n"/>
      <c r="E39" s="15" t="n"/>
      <c r="F39" s="15" t="n"/>
      <c r="G39" s="16" t="n"/>
      <c r="H39" s="15" t="n"/>
      <c r="I39" s="15" t="n"/>
      <c r="J39" s="15" t="n"/>
      <c r="K39" s="15" t="n"/>
      <c r="L39" s="16" t="n"/>
      <c r="M39" s="15" t="n"/>
      <c r="N39" s="17" t="n"/>
      <c r="O39" s="8">
        <f>IF(G39="","",TODAY()-G39)</f>
        <v/>
      </c>
      <c r="P39" s="8">
        <f>IF(OR(G39="",J39="Оплатили",J39="Отказ",J39="Показ",J39="Пробный месяц"),"",IF(TODAY()-G39&gt;=3,"да",""))</f>
        <v/>
      </c>
    </row>
    <row r="40">
      <c r="A40" s="15" t="n"/>
      <c r="B40" s="15" t="n"/>
      <c r="C40" s="15" t="n"/>
      <c r="D40" s="15" t="n"/>
      <c r="E40" s="15" t="n"/>
      <c r="F40" s="15" t="n"/>
      <c r="G40" s="16" t="n"/>
      <c r="H40" s="15" t="n"/>
      <c r="I40" s="15" t="n"/>
      <c r="J40" s="15" t="n"/>
      <c r="K40" s="15" t="n"/>
      <c r="L40" s="16" t="n"/>
      <c r="M40" s="15" t="n"/>
      <c r="N40" s="17" t="n"/>
      <c r="O40" s="8">
        <f>IF(G40="","",TODAY()-G40)</f>
        <v/>
      </c>
      <c r="P40" s="8">
        <f>IF(OR(G40="",J40="Оплатили",J40="Отказ",J40="Показ",J40="Пробный месяц"),"",IF(TODAY()-G40&gt;=3,"да",""))</f>
        <v/>
      </c>
    </row>
    <row r="41">
      <c r="A41" s="15" t="n"/>
      <c r="B41" s="15" t="n"/>
      <c r="C41" s="15" t="n"/>
      <c r="D41" s="15" t="n"/>
      <c r="E41" s="15" t="n"/>
      <c r="F41" s="15" t="n"/>
      <c r="G41" s="16" t="n"/>
      <c r="H41" s="15" t="n"/>
      <c r="I41" s="15" t="n"/>
      <c r="J41" s="15" t="n"/>
      <c r="K41" s="15" t="n"/>
      <c r="L41" s="16" t="n"/>
      <c r="M41" s="15" t="n"/>
      <c r="N41" s="17" t="n"/>
      <c r="O41" s="8">
        <f>IF(G41="","",TODAY()-G41)</f>
        <v/>
      </c>
      <c r="P41" s="8">
        <f>IF(OR(G41="",J41="Оплатили",J41="Отказ",J41="Показ",J41="Пробный месяц"),"",IF(TODAY()-G41&gt;=3,"да",""))</f>
        <v/>
      </c>
    </row>
    <row r="42">
      <c r="A42" s="15" t="n"/>
      <c r="B42" s="15" t="n"/>
      <c r="C42" s="15" t="n"/>
      <c r="D42" s="15" t="n"/>
      <c r="E42" s="15" t="n"/>
      <c r="F42" s="15" t="n"/>
      <c r="G42" s="16" t="n"/>
      <c r="H42" s="15" t="n"/>
      <c r="I42" s="15" t="n"/>
      <c r="J42" s="15" t="n"/>
      <c r="K42" s="15" t="n"/>
      <c r="L42" s="16" t="n"/>
      <c r="M42" s="15" t="n"/>
      <c r="N42" s="17" t="n"/>
      <c r="O42" s="8">
        <f>IF(G42="","",TODAY()-G42)</f>
        <v/>
      </c>
      <c r="P42" s="8">
        <f>IF(OR(G42="",J42="Оплатили",J42="Отказ",J42="Показ",J42="Пробный месяц"),"",IF(TODAY()-G42&gt;=3,"да",""))</f>
        <v/>
      </c>
    </row>
    <row r="43">
      <c r="A43" s="15" t="n"/>
      <c r="B43" s="15" t="n"/>
      <c r="C43" s="15" t="n"/>
      <c r="D43" s="15" t="n"/>
      <c r="E43" s="15" t="n"/>
      <c r="F43" s="15" t="n"/>
      <c r="G43" s="16" t="n"/>
      <c r="H43" s="15" t="n"/>
      <c r="I43" s="15" t="n"/>
      <c r="J43" s="15" t="n"/>
      <c r="K43" s="15" t="n"/>
      <c r="L43" s="16" t="n"/>
      <c r="M43" s="15" t="n"/>
      <c r="N43" s="17" t="n"/>
      <c r="O43" s="8">
        <f>IF(G43="","",TODAY()-G43)</f>
        <v/>
      </c>
      <c r="P43" s="8">
        <f>IF(OR(G43="",J43="Оплатили",J43="Отказ",J43="Показ",J43="Пробный месяц"),"",IF(TODAY()-G43&gt;=3,"да",""))</f>
        <v/>
      </c>
    </row>
    <row r="44">
      <c r="A44" s="15" t="n"/>
      <c r="B44" s="15" t="n"/>
      <c r="C44" s="15" t="n"/>
      <c r="D44" s="15" t="n"/>
      <c r="E44" s="15" t="n"/>
      <c r="F44" s="15" t="n"/>
      <c r="G44" s="16" t="n"/>
      <c r="H44" s="15" t="n"/>
      <c r="I44" s="15" t="n"/>
      <c r="J44" s="15" t="n"/>
      <c r="K44" s="15" t="n"/>
      <c r="L44" s="16" t="n"/>
      <c r="M44" s="15" t="n"/>
      <c r="N44" s="17" t="n"/>
      <c r="O44" s="8">
        <f>IF(G44="","",TODAY()-G44)</f>
        <v/>
      </c>
      <c r="P44" s="8">
        <f>IF(OR(G44="",J44="Оплатили",J44="Отказ",J44="Показ",J44="Пробный месяц"),"",IF(TODAY()-G44&gt;=3,"да",""))</f>
        <v/>
      </c>
    </row>
    <row r="45">
      <c r="A45" s="15" t="n"/>
      <c r="B45" s="15" t="n"/>
      <c r="C45" s="15" t="n"/>
      <c r="D45" s="15" t="n"/>
      <c r="E45" s="15" t="n"/>
      <c r="F45" s="15" t="n"/>
      <c r="G45" s="16" t="n"/>
      <c r="H45" s="15" t="n"/>
      <c r="I45" s="15" t="n"/>
      <c r="J45" s="15" t="n"/>
      <c r="K45" s="15" t="n"/>
      <c r="L45" s="16" t="n"/>
      <c r="M45" s="15" t="n"/>
      <c r="N45" s="17" t="n"/>
      <c r="O45" s="8">
        <f>IF(G45="","",TODAY()-G45)</f>
        <v/>
      </c>
      <c r="P45" s="8">
        <f>IF(OR(G45="",J45="Оплатили",J45="Отказ",J45="Показ",J45="Пробный месяц"),"",IF(TODAY()-G45&gt;=3,"да",""))</f>
        <v/>
      </c>
    </row>
    <row r="46">
      <c r="A46" s="15" t="n"/>
      <c r="B46" s="15" t="n"/>
      <c r="C46" s="15" t="n"/>
      <c r="D46" s="15" t="n"/>
      <c r="E46" s="15" t="n"/>
      <c r="F46" s="15" t="n"/>
      <c r="G46" s="16" t="n"/>
      <c r="H46" s="15" t="n"/>
      <c r="I46" s="15" t="n"/>
      <c r="J46" s="15" t="n"/>
      <c r="K46" s="15" t="n"/>
      <c r="L46" s="16" t="n"/>
      <c r="M46" s="15" t="n"/>
      <c r="N46" s="17" t="n"/>
      <c r="O46" s="8">
        <f>IF(G46="","",TODAY()-G46)</f>
        <v/>
      </c>
      <c r="P46" s="8">
        <f>IF(OR(G46="",J46="Оплатили",J46="Отказ",J46="Показ",J46="Пробный месяц"),"",IF(TODAY()-G46&gt;=3,"да",""))</f>
        <v/>
      </c>
    </row>
    <row r="47">
      <c r="A47" s="15" t="n"/>
      <c r="B47" s="15" t="n"/>
      <c r="C47" s="15" t="n"/>
      <c r="D47" s="15" t="n"/>
      <c r="E47" s="15" t="n"/>
      <c r="F47" s="15" t="n"/>
      <c r="G47" s="16" t="n"/>
      <c r="H47" s="15" t="n"/>
      <c r="I47" s="15" t="n"/>
      <c r="J47" s="15" t="n"/>
      <c r="K47" s="15" t="n"/>
      <c r="L47" s="16" t="n"/>
      <c r="M47" s="15" t="n"/>
      <c r="N47" s="17" t="n"/>
      <c r="O47" s="8">
        <f>IF(G47="","",TODAY()-G47)</f>
        <v/>
      </c>
      <c r="P47" s="8">
        <f>IF(OR(G47="",J47="Оплатили",J47="Отказ",J47="Показ",J47="Пробный месяц"),"",IF(TODAY()-G47&gt;=3,"да",""))</f>
        <v/>
      </c>
    </row>
    <row r="48">
      <c r="A48" s="15" t="n"/>
      <c r="B48" s="15" t="n"/>
      <c r="C48" s="15" t="n"/>
      <c r="D48" s="15" t="n"/>
      <c r="E48" s="15" t="n"/>
      <c r="F48" s="15" t="n"/>
      <c r="G48" s="16" t="n"/>
      <c r="H48" s="15" t="n"/>
      <c r="I48" s="15" t="n"/>
      <c r="J48" s="15" t="n"/>
      <c r="K48" s="15" t="n"/>
      <c r="L48" s="16" t="n"/>
      <c r="M48" s="15" t="n"/>
      <c r="N48" s="17" t="n"/>
      <c r="O48" s="8">
        <f>IF(G48="","",TODAY()-G48)</f>
        <v/>
      </c>
      <c r="P48" s="8">
        <f>IF(OR(G48="",J48="Оплатили",J48="Отказ",J48="Показ",J48="Пробный месяц"),"",IF(TODAY()-G48&gt;=3,"да",""))</f>
        <v/>
      </c>
    </row>
    <row r="49">
      <c r="A49" s="15" t="n"/>
      <c r="B49" s="15" t="n"/>
      <c r="C49" s="15" t="n"/>
      <c r="D49" s="15" t="n"/>
      <c r="E49" s="15" t="n"/>
      <c r="F49" s="15" t="n"/>
      <c r="G49" s="16" t="n"/>
      <c r="H49" s="15" t="n"/>
      <c r="I49" s="15" t="n"/>
      <c r="J49" s="15" t="n"/>
      <c r="K49" s="15" t="n"/>
      <c r="L49" s="16" t="n"/>
      <c r="M49" s="15" t="n"/>
      <c r="N49" s="17" t="n"/>
      <c r="O49" s="8">
        <f>IF(G49="","",TODAY()-G49)</f>
        <v/>
      </c>
      <c r="P49" s="8">
        <f>IF(OR(G49="",J49="Оплатили",J49="Отказ",J49="Показ",J49="Пробный месяц"),"",IF(TODAY()-G49&gt;=3,"да",""))</f>
        <v/>
      </c>
    </row>
    <row r="50">
      <c r="A50" s="15" t="n"/>
      <c r="B50" s="15" t="n"/>
      <c r="C50" s="15" t="n"/>
      <c r="D50" s="15" t="n"/>
      <c r="E50" s="15" t="n"/>
      <c r="F50" s="15" t="n"/>
      <c r="G50" s="16" t="n"/>
      <c r="H50" s="15" t="n"/>
      <c r="I50" s="15" t="n"/>
      <c r="J50" s="15" t="n"/>
      <c r="K50" s="15" t="n"/>
      <c r="L50" s="16" t="n"/>
      <c r="M50" s="15" t="n"/>
      <c r="N50" s="17" t="n"/>
      <c r="O50" s="8">
        <f>IF(G50="","",TODAY()-G50)</f>
        <v/>
      </c>
      <c r="P50" s="8">
        <f>IF(OR(G50="",J50="Оплатили",J50="Отказ",J50="Показ",J50="Пробный месяц"),"",IF(TODAY()-G50&gt;=3,"да",""))</f>
        <v/>
      </c>
    </row>
    <row r="51">
      <c r="A51" s="15" t="n"/>
      <c r="B51" s="15" t="n"/>
      <c r="C51" s="15" t="n"/>
      <c r="D51" s="15" t="n"/>
      <c r="E51" s="15" t="n"/>
      <c r="F51" s="15" t="n"/>
      <c r="G51" s="16" t="n"/>
      <c r="H51" s="15" t="n"/>
      <c r="I51" s="15" t="n"/>
      <c r="J51" s="15" t="n"/>
      <c r="K51" s="15" t="n"/>
      <c r="L51" s="16" t="n"/>
      <c r="M51" s="15" t="n"/>
      <c r="N51" s="17" t="n"/>
      <c r="O51" s="8">
        <f>IF(G51="","",TODAY()-G51)</f>
        <v/>
      </c>
      <c r="P51" s="8">
        <f>IF(OR(G51="",J51="Оплатили",J51="Отказ",J51="Показ",J51="Пробный месяц"),"",IF(TODAY()-G51&gt;=3,"да",""))</f>
        <v/>
      </c>
    </row>
    <row r="52">
      <c r="A52" s="15" t="n"/>
      <c r="B52" s="15" t="n"/>
      <c r="C52" s="15" t="n"/>
      <c r="D52" s="15" t="n"/>
      <c r="E52" s="15" t="n"/>
      <c r="F52" s="15" t="n"/>
      <c r="G52" s="16" t="n"/>
      <c r="H52" s="15" t="n"/>
      <c r="I52" s="15" t="n"/>
      <c r="J52" s="15" t="n"/>
      <c r="K52" s="15" t="n"/>
      <c r="L52" s="16" t="n"/>
      <c r="M52" s="15" t="n"/>
      <c r="N52" s="17" t="n"/>
      <c r="O52" s="8">
        <f>IF(G52="","",TODAY()-G52)</f>
        <v/>
      </c>
      <c r="P52" s="8">
        <f>IF(OR(G52="",J52="Оплатили",J52="Отказ",J52="Показ",J52="Пробный месяц"),"",IF(TODAY()-G52&gt;=3,"да",""))</f>
        <v/>
      </c>
    </row>
    <row r="53">
      <c r="A53" s="15" t="n"/>
      <c r="B53" s="15" t="n"/>
      <c r="C53" s="15" t="n"/>
      <c r="D53" s="15" t="n"/>
      <c r="E53" s="15" t="n"/>
      <c r="F53" s="15" t="n"/>
      <c r="G53" s="16" t="n"/>
      <c r="H53" s="15" t="n"/>
      <c r="I53" s="15" t="n"/>
      <c r="J53" s="15" t="n"/>
      <c r="K53" s="15" t="n"/>
      <c r="L53" s="16" t="n"/>
      <c r="M53" s="15" t="n"/>
      <c r="N53" s="17" t="n"/>
      <c r="O53" s="8">
        <f>IF(G53="","",TODAY()-G53)</f>
        <v/>
      </c>
      <c r="P53" s="8">
        <f>IF(OR(G53="",J53="Оплатили",J53="Отказ",J53="Показ",J53="Пробный месяц"),"",IF(TODAY()-G53&gt;=3,"да",""))</f>
        <v/>
      </c>
    </row>
    <row r="54">
      <c r="A54" s="15" t="n"/>
      <c r="B54" s="15" t="n"/>
      <c r="C54" s="15" t="n"/>
      <c r="D54" s="15" t="n"/>
      <c r="E54" s="15" t="n"/>
      <c r="F54" s="15" t="n"/>
      <c r="G54" s="16" t="n"/>
      <c r="H54" s="15" t="n"/>
      <c r="I54" s="15" t="n"/>
      <c r="J54" s="15" t="n"/>
      <c r="K54" s="15" t="n"/>
      <c r="L54" s="16" t="n"/>
      <c r="M54" s="15" t="n"/>
      <c r="N54" s="17" t="n"/>
      <c r="O54" s="8">
        <f>IF(G54="","",TODAY()-G54)</f>
        <v/>
      </c>
      <c r="P54" s="8">
        <f>IF(OR(G54="",J54="Оплатили",J54="Отказ",J54="Показ",J54="Пробный месяц"),"",IF(TODAY()-G54&gt;=3,"да",""))</f>
        <v/>
      </c>
    </row>
    <row r="55">
      <c r="A55" s="15" t="n"/>
      <c r="B55" s="15" t="n"/>
      <c r="C55" s="15" t="n"/>
      <c r="D55" s="15" t="n"/>
      <c r="E55" s="15" t="n"/>
      <c r="F55" s="15" t="n"/>
      <c r="G55" s="16" t="n"/>
      <c r="H55" s="15" t="n"/>
      <c r="I55" s="15" t="n"/>
      <c r="J55" s="15" t="n"/>
      <c r="K55" s="15" t="n"/>
      <c r="L55" s="16" t="n"/>
      <c r="M55" s="15" t="n"/>
      <c r="N55" s="17" t="n"/>
      <c r="O55" s="8">
        <f>IF(G55="","",TODAY()-G55)</f>
        <v/>
      </c>
      <c r="P55" s="8">
        <f>IF(OR(G55="",J55="Оплатили",J55="Отказ",J55="Показ",J55="Пробный месяц"),"",IF(TODAY()-G55&gt;=3,"да",""))</f>
        <v/>
      </c>
    </row>
    <row r="56">
      <c r="A56" s="15" t="n"/>
      <c r="B56" s="15" t="n"/>
      <c r="C56" s="15" t="n"/>
      <c r="D56" s="15" t="n"/>
      <c r="E56" s="15" t="n"/>
      <c r="F56" s="15" t="n"/>
      <c r="G56" s="16" t="n"/>
      <c r="H56" s="15" t="n"/>
      <c r="I56" s="15" t="n"/>
      <c r="J56" s="15" t="n"/>
      <c r="K56" s="15" t="n"/>
      <c r="L56" s="16" t="n"/>
      <c r="M56" s="15" t="n"/>
      <c r="N56" s="17" t="n"/>
      <c r="O56" s="8">
        <f>IF(G56="","",TODAY()-G56)</f>
        <v/>
      </c>
      <c r="P56" s="8">
        <f>IF(OR(G56="",J56="Оплатили",J56="Отказ",J56="Показ",J56="Пробный месяц"),"",IF(TODAY()-G56&gt;=3,"да",""))</f>
        <v/>
      </c>
    </row>
    <row r="57">
      <c r="A57" s="15" t="n"/>
      <c r="B57" s="15" t="n"/>
      <c r="C57" s="15" t="n"/>
      <c r="D57" s="15" t="n"/>
      <c r="E57" s="15" t="n"/>
      <c r="F57" s="15" t="n"/>
      <c r="G57" s="16" t="n"/>
      <c r="H57" s="15" t="n"/>
      <c r="I57" s="15" t="n"/>
      <c r="J57" s="15" t="n"/>
      <c r="K57" s="15" t="n"/>
      <c r="L57" s="16" t="n"/>
      <c r="M57" s="15" t="n"/>
      <c r="N57" s="17" t="n"/>
      <c r="O57" s="8">
        <f>IF(G57="","",TODAY()-G57)</f>
        <v/>
      </c>
      <c r="P57" s="8">
        <f>IF(OR(G57="",J57="Оплатили",J57="Отказ",J57="Показ",J57="Пробный месяц"),"",IF(TODAY()-G57&gt;=3,"да",""))</f>
        <v/>
      </c>
    </row>
    <row r="58">
      <c r="A58" s="15" t="n"/>
      <c r="B58" s="15" t="n"/>
      <c r="C58" s="15" t="n"/>
      <c r="D58" s="15" t="n"/>
      <c r="E58" s="15" t="n"/>
      <c r="F58" s="15" t="n"/>
      <c r="G58" s="16" t="n"/>
      <c r="H58" s="15" t="n"/>
      <c r="I58" s="15" t="n"/>
      <c r="J58" s="15" t="n"/>
      <c r="K58" s="15" t="n"/>
      <c r="L58" s="16" t="n"/>
      <c r="M58" s="15" t="n"/>
      <c r="N58" s="17" t="n"/>
      <c r="O58" s="8">
        <f>IF(G58="","",TODAY()-G58)</f>
        <v/>
      </c>
      <c r="P58" s="8">
        <f>IF(OR(G58="",J58="Оплатили",J58="Отказ",J58="Показ",J58="Пробный месяц"),"",IF(TODAY()-G58&gt;=3,"да",""))</f>
        <v/>
      </c>
    </row>
    <row r="59">
      <c r="A59" s="15" t="n"/>
      <c r="B59" s="15" t="n"/>
      <c r="C59" s="15" t="n"/>
      <c r="D59" s="15" t="n"/>
      <c r="E59" s="15" t="n"/>
      <c r="F59" s="15" t="n"/>
      <c r="G59" s="16" t="n"/>
      <c r="H59" s="15" t="n"/>
      <c r="I59" s="15" t="n"/>
      <c r="J59" s="15" t="n"/>
      <c r="K59" s="15" t="n"/>
      <c r="L59" s="16" t="n"/>
      <c r="M59" s="15" t="n"/>
      <c r="N59" s="17" t="n"/>
      <c r="O59" s="8">
        <f>IF(G59="","",TODAY()-G59)</f>
        <v/>
      </c>
      <c r="P59" s="8">
        <f>IF(OR(G59="",J59="Оплатили",J59="Отказ",J59="Показ",J59="Пробный месяц"),"",IF(TODAY()-G59&gt;=3,"да",""))</f>
        <v/>
      </c>
    </row>
    <row r="60">
      <c r="A60" s="15" t="n"/>
      <c r="B60" s="15" t="n"/>
      <c r="C60" s="15" t="n"/>
      <c r="D60" s="15" t="n"/>
      <c r="E60" s="15" t="n"/>
      <c r="F60" s="15" t="n"/>
      <c r="G60" s="16" t="n"/>
      <c r="H60" s="15" t="n"/>
      <c r="I60" s="15" t="n"/>
      <c r="J60" s="15" t="n"/>
      <c r="K60" s="15" t="n"/>
      <c r="L60" s="16" t="n"/>
      <c r="M60" s="15" t="n"/>
      <c r="N60" s="17" t="n"/>
      <c r="O60" s="8">
        <f>IF(G60="","",TODAY()-G60)</f>
        <v/>
      </c>
      <c r="P60" s="8">
        <f>IF(OR(G60="",J60="Оплатили",J60="Отказ",J60="Показ",J60="Пробный месяц"),"",IF(TODAY()-G60&gt;=3,"да",""))</f>
        <v/>
      </c>
    </row>
    <row r="61">
      <c r="A61" s="15" t="n"/>
      <c r="B61" s="15" t="n"/>
      <c r="C61" s="15" t="n"/>
      <c r="D61" s="15" t="n"/>
      <c r="E61" s="15" t="n"/>
      <c r="F61" s="15" t="n"/>
      <c r="G61" s="16" t="n"/>
      <c r="H61" s="15" t="n"/>
      <c r="I61" s="15" t="n"/>
      <c r="J61" s="15" t="n"/>
      <c r="K61" s="15" t="n"/>
      <c r="L61" s="16" t="n"/>
      <c r="M61" s="15" t="n"/>
      <c r="N61" s="17" t="n"/>
      <c r="O61" s="8">
        <f>IF(G61="","",TODAY()-G61)</f>
        <v/>
      </c>
      <c r="P61" s="8">
        <f>IF(OR(G61="",J61="Оплатили",J61="Отказ",J61="Показ",J61="Пробный месяц"),"",IF(TODAY()-G61&gt;=3,"да",""))</f>
        <v/>
      </c>
    </row>
    <row r="62">
      <c r="A62" s="15" t="n"/>
      <c r="B62" s="15" t="n"/>
      <c r="C62" s="15" t="n"/>
      <c r="D62" s="15" t="n"/>
      <c r="E62" s="15" t="n"/>
      <c r="F62" s="15" t="n"/>
      <c r="G62" s="16" t="n"/>
      <c r="H62" s="15" t="n"/>
      <c r="I62" s="15" t="n"/>
      <c r="J62" s="15" t="n"/>
      <c r="K62" s="15" t="n"/>
      <c r="L62" s="16" t="n"/>
      <c r="M62" s="15" t="n"/>
      <c r="N62" s="17" t="n"/>
      <c r="O62" s="8">
        <f>IF(G62="","",TODAY()-G62)</f>
        <v/>
      </c>
      <c r="P62" s="8">
        <f>IF(OR(G62="",J62="Оплатили",J62="Отказ",J62="Показ",J62="Пробный месяц"),"",IF(TODAY()-G62&gt;=3,"да",""))</f>
        <v/>
      </c>
    </row>
    <row r="63">
      <c r="A63" s="15" t="n"/>
      <c r="B63" s="15" t="n"/>
      <c r="C63" s="15" t="n"/>
      <c r="D63" s="15" t="n"/>
      <c r="E63" s="15" t="n"/>
      <c r="F63" s="15" t="n"/>
      <c r="G63" s="16" t="n"/>
      <c r="H63" s="15" t="n"/>
      <c r="I63" s="15" t="n"/>
      <c r="J63" s="15" t="n"/>
      <c r="K63" s="15" t="n"/>
      <c r="L63" s="16" t="n"/>
      <c r="M63" s="15" t="n"/>
      <c r="N63" s="17" t="n"/>
      <c r="O63" s="8">
        <f>IF(G63="","",TODAY()-G63)</f>
        <v/>
      </c>
      <c r="P63" s="8">
        <f>IF(OR(G63="",J63="Оплатили",J63="Отказ",J63="Показ",J63="Пробный месяц"),"",IF(TODAY()-G63&gt;=3,"да",""))</f>
        <v/>
      </c>
    </row>
    <row r="64">
      <c r="A64" s="15" t="n"/>
      <c r="B64" s="15" t="n"/>
      <c r="C64" s="15" t="n"/>
      <c r="D64" s="15" t="n"/>
      <c r="E64" s="15" t="n"/>
      <c r="F64" s="15" t="n"/>
      <c r="G64" s="16" t="n"/>
      <c r="H64" s="15" t="n"/>
      <c r="I64" s="15" t="n"/>
      <c r="J64" s="15" t="n"/>
      <c r="K64" s="15" t="n"/>
      <c r="L64" s="16" t="n"/>
      <c r="M64" s="15" t="n"/>
      <c r="N64" s="17" t="n"/>
      <c r="O64" s="8">
        <f>IF(G64="","",TODAY()-G64)</f>
        <v/>
      </c>
      <c r="P64" s="8">
        <f>IF(OR(G64="",J64="Оплатили",J64="Отказ",J64="Показ",J64="Пробный месяц"),"",IF(TODAY()-G64&gt;=3,"да",""))</f>
        <v/>
      </c>
    </row>
    <row r="65">
      <c r="A65" s="15" t="n"/>
      <c r="B65" s="15" t="n"/>
      <c r="C65" s="15" t="n"/>
      <c r="D65" s="15" t="n"/>
      <c r="E65" s="15" t="n"/>
      <c r="F65" s="15" t="n"/>
      <c r="G65" s="16" t="n"/>
      <c r="H65" s="15" t="n"/>
      <c r="I65" s="15" t="n"/>
      <c r="J65" s="15" t="n"/>
      <c r="K65" s="15" t="n"/>
      <c r="L65" s="16" t="n"/>
      <c r="M65" s="15" t="n"/>
      <c r="N65" s="17" t="n"/>
      <c r="O65" s="8">
        <f>IF(G65="","",TODAY()-G65)</f>
        <v/>
      </c>
      <c r="P65" s="8">
        <f>IF(OR(G65="",J65="Оплатили",J65="Отказ",J65="Показ",J65="Пробный месяц"),"",IF(TODAY()-G65&gt;=3,"да",""))</f>
        <v/>
      </c>
    </row>
    <row r="66">
      <c r="A66" s="15" t="n"/>
      <c r="B66" s="15" t="n"/>
      <c r="C66" s="15" t="n"/>
      <c r="D66" s="15" t="n"/>
      <c r="E66" s="15" t="n"/>
      <c r="F66" s="15" t="n"/>
      <c r="G66" s="16" t="n"/>
      <c r="H66" s="15" t="n"/>
      <c r="I66" s="15" t="n"/>
      <c r="J66" s="15" t="n"/>
      <c r="K66" s="15" t="n"/>
      <c r="L66" s="16" t="n"/>
      <c r="M66" s="15" t="n"/>
      <c r="N66" s="17" t="n"/>
      <c r="O66" s="8">
        <f>IF(G66="","",TODAY()-G66)</f>
        <v/>
      </c>
      <c r="P66" s="8">
        <f>IF(OR(G66="",J66="Оплатили",J66="Отказ",J66="Показ",J66="Пробный месяц"),"",IF(TODAY()-G66&gt;=3,"да",""))</f>
        <v/>
      </c>
    </row>
    <row r="67">
      <c r="A67" s="15" t="n"/>
      <c r="B67" s="15" t="n"/>
      <c r="C67" s="15" t="n"/>
      <c r="D67" s="15" t="n"/>
      <c r="E67" s="15" t="n"/>
      <c r="F67" s="15" t="n"/>
      <c r="G67" s="16" t="n"/>
      <c r="H67" s="15" t="n"/>
      <c r="I67" s="15" t="n"/>
      <c r="J67" s="15" t="n"/>
      <c r="K67" s="15" t="n"/>
      <c r="L67" s="16" t="n"/>
      <c r="M67" s="15" t="n"/>
      <c r="N67" s="17" t="n"/>
      <c r="O67" s="8">
        <f>IF(G67="","",TODAY()-G67)</f>
        <v/>
      </c>
      <c r="P67" s="8">
        <f>IF(OR(G67="",J67="Оплатили",J67="Отказ",J67="Показ",J67="Пробный месяц"),"",IF(TODAY()-G67&gt;=3,"да",""))</f>
        <v/>
      </c>
    </row>
    <row r="68">
      <c r="A68" s="15" t="n"/>
      <c r="B68" s="15" t="n"/>
      <c r="C68" s="15" t="n"/>
      <c r="D68" s="15" t="n"/>
      <c r="E68" s="15" t="n"/>
      <c r="F68" s="15" t="n"/>
      <c r="G68" s="16" t="n"/>
      <c r="H68" s="15" t="n"/>
      <c r="I68" s="15" t="n"/>
      <c r="J68" s="15" t="n"/>
      <c r="K68" s="15" t="n"/>
      <c r="L68" s="16" t="n"/>
      <c r="M68" s="15" t="n"/>
      <c r="N68" s="17" t="n"/>
      <c r="O68" s="8">
        <f>IF(G68="","",TODAY()-G68)</f>
        <v/>
      </c>
      <c r="P68" s="8">
        <f>IF(OR(G68="",J68="Оплатили",J68="Отказ",J68="Показ",J68="Пробный месяц"),"",IF(TODAY()-G68&gt;=3,"да",""))</f>
        <v/>
      </c>
    </row>
    <row r="69">
      <c r="A69" s="15" t="n"/>
      <c r="B69" s="15" t="n"/>
      <c r="C69" s="15" t="n"/>
      <c r="D69" s="15" t="n"/>
      <c r="E69" s="15" t="n"/>
      <c r="F69" s="15" t="n"/>
      <c r="G69" s="16" t="n"/>
      <c r="H69" s="15" t="n"/>
      <c r="I69" s="15" t="n"/>
      <c r="J69" s="15" t="n"/>
      <c r="K69" s="15" t="n"/>
      <c r="L69" s="16" t="n"/>
      <c r="M69" s="15" t="n"/>
      <c r="N69" s="17" t="n"/>
      <c r="O69" s="8">
        <f>IF(G69="","",TODAY()-G69)</f>
        <v/>
      </c>
      <c r="P69" s="8">
        <f>IF(OR(G69="",J69="Оплатили",J69="Отказ",J69="Показ",J69="Пробный месяц"),"",IF(TODAY()-G69&gt;=3,"да",""))</f>
        <v/>
      </c>
    </row>
    <row r="70">
      <c r="A70" s="15" t="n"/>
      <c r="B70" s="15" t="n"/>
      <c r="C70" s="15" t="n"/>
      <c r="D70" s="15" t="n"/>
      <c r="E70" s="15" t="n"/>
      <c r="F70" s="15" t="n"/>
      <c r="G70" s="16" t="n"/>
      <c r="H70" s="15" t="n"/>
      <c r="I70" s="15" t="n"/>
      <c r="J70" s="15" t="n"/>
      <c r="K70" s="15" t="n"/>
      <c r="L70" s="16" t="n"/>
      <c r="M70" s="15" t="n"/>
      <c r="N70" s="17" t="n"/>
      <c r="O70" s="8">
        <f>IF(G70="","",TODAY()-G70)</f>
        <v/>
      </c>
      <c r="P70" s="8">
        <f>IF(OR(G70="",J70="Оплатили",J70="Отказ",J70="Показ",J70="Пробный месяц"),"",IF(TODAY()-G70&gt;=3,"да",""))</f>
        <v/>
      </c>
    </row>
    <row r="71">
      <c r="A71" s="15" t="n"/>
      <c r="B71" s="15" t="n"/>
      <c r="C71" s="15" t="n"/>
      <c r="D71" s="15" t="n"/>
      <c r="E71" s="15" t="n"/>
      <c r="F71" s="15" t="n"/>
      <c r="G71" s="16" t="n"/>
      <c r="H71" s="15" t="n"/>
      <c r="I71" s="15" t="n"/>
      <c r="J71" s="15" t="n"/>
      <c r="K71" s="15" t="n"/>
      <c r="L71" s="16" t="n"/>
      <c r="M71" s="15" t="n"/>
      <c r="N71" s="17" t="n"/>
      <c r="O71" s="8">
        <f>IF(G71="","",TODAY()-G71)</f>
        <v/>
      </c>
      <c r="P71" s="8">
        <f>IF(OR(G71="",J71="Оплатили",J71="Отказ",J71="Показ",J71="Пробный месяц"),"",IF(TODAY()-G71&gt;=3,"да",""))</f>
        <v/>
      </c>
    </row>
    <row r="72">
      <c r="A72" s="15" t="n"/>
      <c r="B72" s="15" t="n"/>
      <c r="C72" s="15" t="n"/>
      <c r="D72" s="15" t="n"/>
      <c r="E72" s="15" t="n"/>
      <c r="F72" s="15" t="n"/>
      <c r="G72" s="16" t="n"/>
      <c r="H72" s="15" t="n"/>
      <c r="I72" s="15" t="n"/>
      <c r="J72" s="15" t="n"/>
      <c r="K72" s="15" t="n"/>
      <c r="L72" s="16" t="n"/>
      <c r="M72" s="15" t="n"/>
      <c r="N72" s="17" t="n"/>
      <c r="O72" s="8">
        <f>IF(G72="","",TODAY()-G72)</f>
        <v/>
      </c>
      <c r="P72" s="8">
        <f>IF(OR(G72="",J72="Оплатили",J72="Отказ",J72="Показ",J72="Пробный месяц"),"",IF(TODAY()-G72&gt;=3,"да",""))</f>
        <v/>
      </c>
    </row>
    <row r="73">
      <c r="A73" s="15" t="n"/>
      <c r="B73" s="15" t="n"/>
      <c r="C73" s="15" t="n"/>
      <c r="D73" s="15" t="n"/>
      <c r="E73" s="15" t="n"/>
      <c r="F73" s="15" t="n"/>
      <c r="G73" s="16" t="n"/>
      <c r="H73" s="15" t="n"/>
      <c r="I73" s="15" t="n"/>
      <c r="J73" s="15" t="n"/>
      <c r="K73" s="15" t="n"/>
      <c r="L73" s="16" t="n"/>
      <c r="M73" s="15" t="n"/>
      <c r="N73" s="17" t="n"/>
      <c r="O73" s="8">
        <f>IF(G73="","",TODAY()-G73)</f>
        <v/>
      </c>
      <c r="P73" s="8">
        <f>IF(OR(G73="",J73="Оплатили",J73="Отказ",J73="Показ",J73="Пробный месяц"),"",IF(TODAY()-G73&gt;=3,"да",""))</f>
        <v/>
      </c>
    </row>
    <row r="74">
      <c r="A74" s="15" t="n"/>
      <c r="B74" s="15" t="n"/>
      <c r="C74" s="15" t="n"/>
      <c r="D74" s="15" t="n"/>
      <c r="E74" s="15" t="n"/>
      <c r="F74" s="15" t="n"/>
      <c r="G74" s="16" t="n"/>
      <c r="H74" s="15" t="n"/>
      <c r="I74" s="15" t="n"/>
      <c r="J74" s="15" t="n"/>
      <c r="K74" s="15" t="n"/>
      <c r="L74" s="16" t="n"/>
      <c r="M74" s="15" t="n"/>
      <c r="N74" s="17" t="n"/>
      <c r="O74" s="8">
        <f>IF(G74="","",TODAY()-G74)</f>
        <v/>
      </c>
      <c r="P74" s="8">
        <f>IF(OR(G74="",J74="Оплатили",J74="Отказ",J74="Показ",J74="Пробный месяц"),"",IF(TODAY()-G74&gt;=3,"да",""))</f>
        <v/>
      </c>
    </row>
    <row r="75">
      <c r="A75" s="15" t="n"/>
      <c r="B75" s="15" t="n"/>
      <c r="C75" s="15" t="n"/>
      <c r="D75" s="15" t="n"/>
      <c r="E75" s="15" t="n"/>
      <c r="F75" s="15" t="n"/>
      <c r="G75" s="16" t="n"/>
      <c r="H75" s="15" t="n"/>
      <c r="I75" s="15" t="n"/>
      <c r="J75" s="15" t="n"/>
      <c r="K75" s="15" t="n"/>
      <c r="L75" s="16" t="n"/>
      <c r="M75" s="15" t="n"/>
      <c r="N75" s="17" t="n"/>
      <c r="O75" s="8">
        <f>IF(G75="","",TODAY()-G75)</f>
        <v/>
      </c>
      <c r="P75" s="8">
        <f>IF(OR(G75="",J75="Оплатили",J75="Отказ",J75="Показ",J75="Пробный месяц"),"",IF(TODAY()-G75&gt;=3,"да",""))</f>
        <v/>
      </c>
    </row>
    <row r="76">
      <c r="A76" s="15" t="n"/>
      <c r="B76" s="15" t="n"/>
      <c r="C76" s="15" t="n"/>
      <c r="D76" s="15" t="n"/>
      <c r="E76" s="15" t="n"/>
      <c r="F76" s="15" t="n"/>
      <c r="G76" s="16" t="n"/>
      <c r="H76" s="15" t="n"/>
      <c r="I76" s="15" t="n"/>
      <c r="J76" s="15" t="n"/>
      <c r="K76" s="15" t="n"/>
      <c r="L76" s="16" t="n"/>
      <c r="M76" s="15" t="n"/>
      <c r="N76" s="17" t="n"/>
      <c r="O76" s="8">
        <f>IF(G76="","",TODAY()-G76)</f>
        <v/>
      </c>
      <c r="P76" s="8">
        <f>IF(OR(G76="",J76="Оплатили",J76="Отказ",J76="Показ",J76="Пробный месяц"),"",IF(TODAY()-G76&gt;=3,"да",""))</f>
        <v/>
      </c>
    </row>
    <row r="77">
      <c r="A77" s="15" t="n"/>
      <c r="B77" s="15" t="n"/>
      <c r="C77" s="15" t="n"/>
      <c r="D77" s="15" t="n"/>
      <c r="E77" s="15" t="n"/>
      <c r="F77" s="15" t="n"/>
      <c r="G77" s="16" t="n"/>
      <c r="H77" s="15" t="n"/>
      <c r="I77" s="15" t="n"/>
      <c r="J77" s="15" t="n"/>
      <c r="K77" s="15" t="n"/>
      <c r="L77" s="16" t="n"/>
      <c r="M77" s="15" t="n"/>
      <c r="N77" s="17" t="n"/>
      <c r="O77" s="8">
        <f>IF(G77="","",TODAY()-G77)</f>
        <v/>
      </c>
      <c r="P77" s="8">
        <f>IF(OR(G77="",J77="Оплатили",J77="Отказ",J77="Показ",J77="Пробный месяц"),"",IF(TODAY()-G77&gt;=3,"да",""))</f>
        <v/>
      </c>
    </row>
    <row r="78">
      <c r="A78" s="15" t="n"/>
      <c r="B78" s="15" t="n"/>
      <c r="C78" s="15" t="n"/>
      <c r="D78" s="15" t="n"/>
      <c r="E78" s="15" t="n"/>
      <c r="F78" s="15" t="n"/>
      <c r="G78" s="16" t="n"/>
      <c r="H78" s="15" t="n"/>
      <c r="I78" s="15" t="n"/>
      <c r="J78" s="15" t="n"/>
      <c r="K78" s="15" t="n"/>
      <c r="L78" s="16" t="n"/>
      <c r="M78" s="15" t="n"/>
      <c r="N78" s="17" t="n"/>
      <c r="O78" s="8">
        <f>IF(G78="","",TODAY()-G78)</f>
        <v/>
      </c>
      <c r="P78" s="8">
        <f>IF(OR(G78="",J78="Оплатили",J78="Отказ",J78="Показ",J78="Пробный месяц"),"",IF(TODAY()-G78&gt;=3,"да",""))</f>
        <v/>
      </c>
    </row>
    <row r="79">
      <c r="A79" s="15" t="n"/>
      <c r="B79" s="15" t="n"/>
      <c r="C79" s="15" t="n"/>
      <c r="D79" s="15" t="n"/>
      <c r="E79" s="15" t="n"/>
      <c r="F79" s="15" t="n"/>
      <c r="G79" s="16" t="n"/>
      <c r="H79" s="15" t="n"/>
      <c r="I79" s="15" t="n"/>
      <c r="J79" s="15" t="n"/>
      <c r="K79" s="15" t="n"/>
      <c r="L79" s="16" t="n"/>
      <c r="M79" s="15" t="n"/>
      <c r="N79" s="17" t="n"/>
      <c r="O79" s="8">
        <f>IF(G79="","",TODAY()-G79)</f>
        <v/>
      </c>
      <c r="P79" s="8">
        <f>IF(OR(G79="",J79="Оплатили",J79="Отказ",J79="Показ",J79="Пробный месяц"),"",IF(TODAY()-G79&gt;=3,"да",""))</f>
        <v/>
      </c>
    </row>
    <row r="80">
      <c r="A80" s="15" t="n"/>
      <c r="B80" s="15" t="n"/>
      <c r="C80" s="15" t="n"/>
      <c r="D80" s="15" t="n"/>
      <c r="E80" s="15" t="n"/>
      <c r="F80" s="15" t="n"/>
      <c r="G80" s="16" t="n"/>
      <c r="H80" s="15" t="n"/>
      <c r="I80" s="15" t="n"/>
      <c r="J80" s="15" t="n"/>
      <c r="K80" s="15" t="n"/>
      <c r="L80" s="16" t="n"/>
      <c r="M80" s="15" t="n"/>
      <c r="N80" s="17" t="n"/>
      <c r="O80" s="8">
        <f>IF(G80="","",TODAY()-G80)</f>
        <v/>
      </c>
      <c r="P80" s="8">
        <f>IF(OR(G80="",J80="Оплатили",J80="Отказ",J80="Показ",J80="Пробный месяц"),"",IF(TODAY()-G80&gt;=3,"да",""))</f>
        <v/>
      </c>
    </row>
    <row r="81">
      <c r="A81" s="15" t="n"/>
      <c r="B81" s="15" t="n"/>
      <c r="C81" s="15" t="n"/>
      <c r="D81" s="15" t="n"/>
      <c r="E81" s="15" t="n"/>
      <c r="F81" s="15" t="n"/>
      <c r="G81" s="16" t="n"/>
      <c r="H81" s="15" t="n"/>
      <c r="I81" s="15" t="n"/>
      <c r="J81" s="15" t="n"/>
      <c r="K81" s="15" t="n"/>
      <c r="L81" s="16" t="n"/>
      <c r="M81" s="15" t="n"/>
      <c r="N81" s="17" t="n"/>
      <c r="O81" s="8">
        <f>IF(G81="","",TODAY()-G81)</f>
        <v/>
      </c>
      <c r="P81" s="8">
        <f>IF(OR(G81="",J81="Оплатили",J81="Отказ",J81="Показ",J81="Пробный месяц"),"",IF(TODAY()-G81&gt;=3,"да",""))</f>
        <v/>
      </c>
    </row>
    <row r="82">
      <c r="A82" s="15" t="n"/>
      <c r="B82" s="15" t="n"/>
      <c r="C82" s="15" t="n"/>
      <c r="D82" s="15" t="n"/>
      <c r="E82" s="15" t="n"/>
      <c r="F82" s="15" t="n"/>
      <c r="G82" s="16" t="n"/>
      <c r="H82" s="15" t="n"/>
      <c r="I82" s="15" t="n"/>
      <c r="J82" s="15" t="n"/>
      <c r="K82" s="15" t="n"/>
      <c r="L82" s="16" t="n"/>
      <c r="M82" s="15" t="n"/>
      <c r="N82" s="17" t="n"/>
      <c r="O82" s="8">
        <f>IF(G82="","",TODAY()-G82)</f>
        <v/>
      </c>
      <c r="P82" s="8">
        <f>IF(OR(G82="",J82="Оплатили",J82="Отказ",J82="Показ",J82="Пробный месяц"),"",IF(TODAY()-G82&gt;=3,"да",""))</f>
        <v/>
      </c>
    </row>
    <row r="83">
      <c r="A83" s="15" t="n"/>
      <c r="B83" s="15" t="n"/>
      <c r="C83" s="15" t="n"/>
      <c r="D83" s="15" t="n"/>
      <c r="E83" s="15" t="n"/>
      <c r="F83" s="15" t="n"/>
      <c r="G83" s="16" t="n"/>
      <c r="H83" s="15" t="n"/>
      <c r="I83" s="15" t="n"/>
      <c r="J83" s="15" t="n"/>
      <c r="K83" s="15" t="n"/>
      <c r="L83" s="16" t="n"/>
      <c r="M83" s="15" t="n"/>
      <c r="N83" s="17" t="n"/>
      <c r="O83" s="8">
        <f>IF(G83="","",TODAY()-G83)</f>
        <v/>
      </c>
      <c r="P83" s="8">
        <f>IF(OR(G83="",J83="Оплатили",J83="Отказ",J83="Показ",J83="Пробный месяц"),"",IF(TODAY()-G83&gt;=3,"да",""))</f>
        <v/>
      </c>
    </row>
    <row r="84">
      <c r="A84" s="15" t="n"/>
      <c r="B84" s="15" t="n"/>
      <c r="C84" s="15" t="n"/>
      <c r="D84" s="15" t="n"/>
      <c r="E84" s="15" t="n"/>
      <c r="F84" s="15" t="n"/>
      <c r="G84" s="16" t="n"/>
      <c r="H84" s="15" t="n"/>
      <c r="I84" s="15" t="n"/>
      <c r="J84" s="15" t="n"/>
      <c r="K84" s="15" t="n"/>
      <c r="L84" s="16" t="n"/>
      <c r="M84" s="15" t="n"/>
      <c r="N84" s="17" t="n"/>
      <c r="O84" s="8">
        <f>IF(G84="","",TODAY()-G84)</f>
        <v/>
      </c>
      <c r="P84" s="8">
        <f>IF(OR(G84="",J84="Оплатили",J84="Отказ",J84="Показ",J84="Пробный месяц"),"",IF(TODAY()-G84&gt;=3,"да",""))</f>
        <v/>
      </c>
    </row>
    <row r="85">
      <c r="A85" s="15" t="n"/>
      <c r="B85" s="15" t="n"/>
      <c r="C85" s="15" t="n"/>
      <c r="D85" s="15" t="n"/>
      <c r="E85" s="15" t="n"/>
      <c r="F85" s="15" t="n"/>
      <c r="G85" s="16" t="n"/>
      <c r="H85" s="15" t="n"/>
      <c r="I85" s="15" t="n"/>
      <c r="J85" s="15" t="n"/>
      <c r="K85" s="15" t="n"/>
      <c r="L85" s="16" t="n"/>
      <c r="M85" s="15" t="n"/>
      <c r="N85" s="17" t="n"/>
      <c r="O85" s="8">
        <f>IF(G85="","",TODAY()-G85)</f>
        <v/>
      </c>
      <c r="P85" s="8">
        <f>IF(OR(G85="",J85="Оплатили",J85="Отказ",J85="Показ",J85="Пробный месяц"),"",IF(TODAY()-G85&gt;=3,"да",""))</f>
        <v/>
      </c>
    </row>
    <row r="86">
      <c r="A86" s="15" t="n"/>
      <c r="B86" s="15" t="n"/>
      <c r="C86" s="15" t="n"/>
      <c r="D86" s="15" t="n"/>
      <c r="E86" s="15" t="n"/>
      <c r="F86" s="15" t="n"/>
      <c r="G86" s="16" t="n"/>
      <c r="H86" s="15" t="n"/>
      <c r="I86" s="15" t="n"/>
      <c r="J86" s="15" t="n"/>
      <c r="K86" s="15" t="n"/>
      <c r="L86" s="16" t="n"/>
      <c r="M86" s="15" t="n"/>
      <c r="N86" s="17" t="n"/>
      <c r="O86" s="8">
        <f>IF(G86="","",TODAY()-G86)</f>
        <v/>
      </c>
      <c r="P86" s="8">
        <f>IF(OR(G86="",J86="Оплатили",J86="Отказ",J86="Показ",J86="Пробный месяц"),"",IF(TODAY()-G86&gt;=3,"да",""))</f>
        <v/>
      </c>
    </row>
    <row r="87">
      <c r="A87" s="15" t="n"/>
      <c r="B87" s="15" t="n"/>
      <c r="C87" s="15" t="n"/>
      <c r="D87" s="15" t="n"/>
      <c r="E87" s="15" t="n"/>
      <c r="F87" s="15" t="n"/>
      <c r="G87" s="16" t="n"/>
      <c r="H87" s="15" t="n"/>
      <c r="I87" s="15" t="n"/>
      <c r="J87" s="15" t="n"/>
      <c r="K87" s="15" t="n"/>
      <c r="L87" s="16" t="n"/>
      <c r="M87" s="15" t="n"/>
      <c r="N87" s="17" t="n"/>
      <c r="O87" s="8">
        <f>IF(G87="","",TODAY()-G87)</f>
        <v/>
      </c>
      <c r="P87" s="8">
        <f>IF(OR(G87="",J87="Оплатили",J87="Отказ",J87="Показ",J87="Пробный месяц"),"",IF(TODAY()-G87&gt;=3,"да",""))</f>
        <v/>
      </c>
    </row>
    <row r="88">
      <c r="A88" s="15" t="n"/>
      <c r="B88" s="15" t="n"/>
      <c r="C88" s="15" t="n"/>
      <c r="D88" s="15" t="n"/>
      <c r="E88" s="15" t="n"/>
      <c r="F88" s="15" t="n"/>
      <c r="G88" s="16" t="n"/>
      <c r="H88" s="15" t="n"/>
      <c r="I88" s="15" t="n"/>
      <c r="J88" s="15" t="n"/>
      <c r="K88" s="15" t="n"/>
      <c r="L88" s="16" t="n"/>
      <c r="M88" s="15" t="n"/>
      <c r="N88" s="17" t="n"/>
      <c r="O88" s="8">
        <f>IF(G88="","",TODAY()-G88)</f>
        <v/>
      </c>
      <c r="P88" s="8">
        <f>IF(OR(G88="",J88="Оплатили",J88="Отказ",J88="Показ",J88="Пробный месяц"),"",IF(TODAY()-G88&gt;=3,"да",""))</f>
        <v/>
      </c>
    </row>
    <row r="89">
      <c r="A89" s="15" t="n"/>
      <c r="B89" s="15" t="n"/>
      <c r="C89" s="15" t="n"/>
      <c r="D89" s="15" t="n"/>
      <c r="E89" s="15" t="n"/>
      <c r="F89" s="15" t="n"/>
      <c r="G89" s="16" t="n"/>
      <c r="H89" s="15" t="n"/>
      <c r="I89" s="15" t="n"/>
      <c r="J89" s="15" t="n"/>
      <c r="K89" s="15" t="n"/>
      <c r="L89" s="16" t="n"/>
      <c r="M89" s="15" t="n"/>
      <c r="N89" s="17" t="n"/>
      <c r="O89" s="8">
        <f>IF(G89="","",TODAY()-G89)</f>
        <v/>
      </c>
      <c r="P89" s="8">
        <f>IF(OR(G89="",J89="Оплатили",J89="Отказ",J89="Показ",J89="Пробный месяц"),"",IF(TODAY()-G89&gt;=3,"да",""))</f>
        <v/>
      </c>
    </row>
    <row r="90">
      <c r="A90" s="15" t="n"/>
      <c r="B90" s="15" t="n"/>
      <c r="C90" s="15" t="n"/>
      <c r="D90" s="15" t="n"/>
      <c r="E90" s="15" t="n"/>
      <c r="F90" s="15" t="n"/>
      <c r="G90" s="16" t="n"/>
      <c r="H90" s="15" t="n"/>
      <c r="I90" s="15" t="n"/>
      <c r="J90" s="15" t="n"/>
      <c r="K90" s="15" t="n"/>
      <c r="L90" s="16" t="n"/>
      <c r="M90" s="15" t="n"/>
      <c r="N90" s="17" t="n"/>
      <c r="O90" s="8">
        <f>IF(G90="","",TODAY()-G90)</f>
        <v/>
      </c>
      <c r="P90" s="8">
        <f>IF(OR(G90="",J90="Оплатили",J90="Отказ",J90="Показ",J90="Пробный месяц"),"",IF(TODAY()-G90&gt;=3,"да",""))</f>
        <v/>
      </c>
    </row>
    <row r="91">
      <c r="A91" s="15" t="n"/>
      <c r="B91" s="15" t="n"/>
      <c r="C91" s="15" t="n"/>
      <c r="D91" s="15" t="n"/>
      <c r="E91" s="15" t="n"/>
      <c r="F91" s="15" t="n"/>
      <c r="G91" s="16" t="n"/>
      <c r="H91" s="15" t="n"/>
      <c r="I91" s="15" t="n"/>
      <c r="J91" s="15" t="n"/>
      <c r="K91" s="15" t="n"/>
      <c r="L91" s="16" t="n"/>
      <c r="M91" s="15" t="n"/>
      <c r="N91" s="17" t="n"/>
      <c r="O91" s="8">
        <f>IF(G91="","",TODAY()-G91)</f>
        <v/>
      </c>
      <c r="P91" s="8">
        <f>IF(OR(G91="",J91="Оплатили",J91="Отказ",J91="Показ",J91="Пробный месяц"),"",IF(TODAY()-G91&gt;=3,"да",""))</f>
        <v/>
      </c>
    </row>
    <row r="92">
      <c r="A92" s="15" t="n"/>
      <c r="B92" s="15" t="n"/>
      <c r="C92" s="15" t="n"/>
      <c r="D92" s="15" t="n"/>
      <c r="E92" s="15" t="n"/>
      <c r="F92" s="15" t="n"/>
      <c r="G92" s="16" t="n"/>
      <c r="H92" s="15" t="n"/>
      <c r="I92" s="15" t="n"/>
      <c r="J92" s="15" t="n"/>
      <c r="K92" s="15" t="n"/>
      <c r="L92" s="16" t="n"/>
      <c r="M92" s="15" t="n"/>
      <c r="N92" s="17" t="n"/>
      <c r="O92" s="8">
        <f>IF(G92="","",TODAY()-G92)</f>
        <v/>
      </c>
      <c r="P92" s="8">
        <f>IF(OR(G92="",J92="Оплатили",J92="Отказ",J92="Показ",J92="Пробный месяц"),"",IF(TODAY()-G92&gt;=3,"да",""))</f>
        <v/>
      </c>
    </row>
    <row r="93">
      <c r="A93" s="15" t="n"/>
      <c r="B93" s="15" t="n"/>
      <c r="C93" s="15" t="n"/>
      <c r="D93" s="15" t="n"/>
      <c r="E93" s="15" t="n"/>
      <c r="F93" s="15" t="n"/>
      <c r="G93" s="16" t="n"/>
      <c r="H93" s="15" t="n"/>
      <c r="I93" s="15" t="n"/>
      <c r="J93" s="15" t="n"/>
      <c r="K93" s="15" t="n"/>
      <c r="L93" s="16" t="n"/>
      <c r="M93" s="15" t="n"/>
      <c r="N93" s="17" t="n"/>
      <c r="O93" s="8">
        <f>IF(G93="","",TODAY()-G93)</f>
        <v/>
      </c>
      <c r="P93" s="8">
        <f>IF(OR(G93="",J93="Оплатили",J93="Отказ",J93="Показ",J93="Пробный месяц"),"",IF(TODAY()-G93&gt;=3,"да",""))</f>
        <v/>
      </c>
    </row>
    <row r="94">
      <c r="A94" s="15" t="n"/>
      <c r="B94" s="15" t="n"/>
      <c r="C94" s="15" t="n"/>
      <c r="D94" s="15" t="n"/>
      <c r="E94" s="15" t="n"/>
      <c r="F94" s="15" t="n"/>
      <c r="G94" s="16" t="n"/>
      <c r="H94" s="15" t="n"/>
      <c r="I94" s="15" t="n"/>
      <c r="J94" s="15" t="n"/>
      <c r="K94" s="15" t="n"/>
      <c r="L94" s="16" t="n"/>
      <c r="M94" s="15" t="n"/>
      <c r="N94" s="17" t="n"/>
      <c r="O94" s="8">
        <f>IF(G94="","",TODAY()-G94)</f>
        <v/>
      </c>
      <c r="P94" s="8">
        <f>IF(OR(G94="",J94="Оплатили",J94="Отказ",J94="Показ",J94="Пробный месяц"),"",IF(TODAY()-G94&gt;=3,"да",""))</f>
        <v/>
      </c>
    </row>
    <row r="95">
      <c r="A95" s="15" t="n"/>
      <c r="B95" s="15" t="n"/>
      <c r="C95" s="15" t="n"/>
      <c r="D95" s="15" t="n"/>
      <c r="E95" s="15" t="n"/>
      <c r="F95" s="15" t="n"/>
      <c r="G95" s="16" t="n"/>
      <c r="H95" s="15" t="n"/>
      <c r="I95" s="15" t="n"/>
      <c r="J95" s="15" t="n"/>
      <c r="K95" s="15" t="n"/>
      <c r="L95" s="16" t="n"/>
      <c r="M95" s="15" t="n"/>
      <c r="N95" s="17" t="n"/>
      <c r="O95" s="8">
        <f>IF(G95="","",TODAY()-G95)</f>
        <v/>
      </c>
      <c r="P95" s="8">
        <f>IF(OR(G95="",J95="Оплатили",J95="Отказ",J95="Показ",J95="Пробный месяц"),"",IF(TODAY()-G95&gt;=3,"да",""))</f>
        <v/>
      </c>
    </row>
    <row r="96">
      <c r="A96" s="15" t="n"/>
      <c r="B96" s="15" t="n"/>
      <c r="C96" s="15" t="n"/>
      <c r="D96" s="15" t="n"/>
      <c r="E96" s="15" t="n"/>
      <c r="F96" s="15" t="n"/>
      <c r="G96" s="16" t="n"/>
      <c r="H96" s="15" t="n"/>
      <c r="I96" s="15" t="n"/>
      <c r="J96" s="15" t="n"/>
      <c r="K96" s="15" t="n"/>
      <c r="L96" s="16" t="n"/>
      <c r="M96" s="15" t="n"/>
      <c r="N96" s="17" t="n"/>
      <c r="O96" s="8">
        <f>IF(G96="","",TODAY()-G96)</f>
        <v/>
      </c>
      <c r="P96" s="8">
        <f>IF(OR(G96="",J96="Оплатили",J96="Отказ",J96="Показ",J96="Пробный месяц"),"",IF(TODAY()-G96&gt;=3,"да",""))</f>
        <v/>
      </c>
    </row>
    <row r="97">
      <c r="A97" s="15" t="n"/>
      <c r="B97" s="15" t="n"/>
      <c r="C97" s="15" t="n"/>
      <c r="D97" s="15" t="n"/>
      <c r="E97" s="15" t="n"/>
      <c r="F97" s="15" t="n"/>
      <c r="G97" s="16" t="n"/>
      <c r="H97" s="15" t="n"/>
      <c r="I97" s="15" t="n"/>
      <c r="J97" s="15" t="n"/>
      <c r="K97" s="15" t="n"/>
      <c r="L97" s="16" t="n"/>
      <c r="M97" s="15" t="n"/>
      <c r="N97" s="17" t="n"/>
      <c r="O97" s="8">
        <f>IF(G97="","",TODAY()-G97)</f>
        <v/>
      </c>
      <c r="P97" s="8">
        <f>IF(OR(G97="",J97="Оплатили",J97="Отказ",J97="Показ",J97="Пробный месяц"),"",IF(TODAY()-G97&gt;=3,"да",""))</f>
        <v/>
      </c>
    </row>
    <row r="98">
      <c r="A98" s="15" t="n"/>
      <c r="B98" s="15" t="n"/>
      <c r="C98" s="15" t="n"/>
      <c r="D98" s="15" t="n"/>
      <c r="E98" s="15" t="n"/>
      <c r="F98" s="15" t="n"/>
      <c r="G98" s="16" t="n"/>
      <c r="H98" s="15" t="n"/>
      <c r="I98" s="15" t="n"/>
      <c r="J98" s="15" t="n"/>
      <c r="K98" s="15" t="n"/>
      <c r="L98" s="16" t="n"/>
      <c r="M98" s="15" t="n"/>
      <c r="N98" s="17" t="n"/>
      <c r="O98" s="8">
        <f>IF(G98="","",TODAY()-G98)</f>
        <v/>
      </c>
      <c r="P98" s="8">
        <f>IF(OR(G98="",J98="Оплатили",J98="Отказ",J98="Показ",J98="Пробный месяц"),"",IF(TODAY()-G98&gt;=3,"да",""))</f>
        <v/>
      </c>
    </row>
    <row r="99">
      <c r="A99" s="15" t="n"/>
      <c r="B99" s="15" t="n"/>
      <c r="C99" s="15" t="n"/>
      <c r="D99" s="15" t="n"/>
      <c r="E99" s="15" t="n"/>
      <c r="F99" s="15" t="n"/>
      <c r="G99" s="16" t="n"/>
      <c r="H99" s="15" t="n"/>
      <c r="I99" s="15" t="n"/>
      <c r="J99" s="15" t="n"/>
      <c r="K99" s="15" t="n"/>
      <c r="L99" s="16" t="n"/>
      <c r="M99" s="15" t="n"/>
      <c r="N99" s="17" t="n"/>
      <c r="O99" s="8">
        <f>IF(G99="","",TODAY()-G99)</f>
        <v/>
      </c>
      <c r="P99" s="8">
        <f>IF(OR(G99="",J99="Оплатили",J99="Отказ",J99="Показ",J99="Пробный месяц"),"",IF(TODAY()-G99&gt;=3,"да",""))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6" t="n"/>
      <c r="H100" s="15" t="n"/>
      <c r="I100" s="15" t="n"/>
      <c r="J100" s="15" t="n"/>
      <c r="K100" s="15" t="n"/>
      <c r="L100" s="16" t="n"/>
      <c r="M100" s="15" t="n"/>
      <c r="N100" s="17" t="n"/>
      <c r="O100" s="8">
        <f>IF(G100="","",TODAY()-G100)</f>
        <v/>
      </c>
      <c r="P100" s="8">
        <f>IF(OR(G100="",J100="Оплатили",J100="Отказ",J100="Показ",J100="Пробный месяц"),"",IF(TODAY()-G100&gt;=3,"да",""))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6" t="n"/>
      <c r="H101" s="15" t="n"/>
      <c r="I101" s="15" t="n"/>
      <c r="J101" s="15" t="n"/>
      <c r="K101" s="15" t="n"/>
      <c r="L101" s="16" t="n"/>
      <c r="M101" s="15" t="n"/>
      <c r="N101" s="17" t="n"/>
      <c r="O101" s="8">
        <f>IF(G101="","",TODAY()-G101)</f>
        <v/>
      </c>
      <c r="P101" s="8">
        <f>IF(OR(G101="",J101="Оплатили",J101="Отказ",J101="Показ",J101="Пробный месяц"),"",IF(TODAY()-G101&gt;=3,"да",""))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6" t="n"/>
      <c r="H102" s="15" t="n"/>
      <c r="I102" s="15" t="n"/>
      <c r="J102" s="15" t="n"/>
      <c r="K102" s="15" t="n"/>
      <c r="L102" s="16" t="n"/>
      <c r="M102" s="15" t="n"/>
      <c r="N102" s="17" t="n"/>
      <c r="O102" s="8">
        <f>IF(G102="","",TODAY()-G102)</f>
        <v/>
      </c>
      <c r="P102" s="8">
        <f>IF(OR(G102="",J102="Оплатили",J102="Отказ",J102="Показ",J102="Пробный месяц"),"",IF(TODAY()-G102&gt;=3,"да",""))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6" t="n"/>
      <c r="H103" s="15" t="n"/>
      <c r="I103" s="15" t="n"/>
      <c r="J103" s="15" t="n"/>
      <c r="K103" s="15" t="n"/>
      <c r="L103" s="16" t="n"/>
      <c r="M103" s="15" t="n"/>
      <c r="N103" s="17" t="n"/>
      <c r="O103" s="8">
        <f>IF(G103="","",TODAY()-G103)</f>
        <v/>
      </c>
      <c r="P103" s="8">
        <f>IF(OR(G103="",J103="Оплатили",J103="Отказ",J103="Показ",J103="Пробный месяц"),"",IF(TODAY()-G103&gt;=3,"да",""))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6" t="n"/>
      <c r="H104" s="15" t="n"/>
      <c r="I104" s="15" t="n"/>
      <c r="J104" s="15" t="n"/>
      <c r="K104" s="15" t="n"/>
      <c r="L104" s="16" t="n"/>
      <c r="M104" s="15" t="n"/>
      <c r="N104" s="17" t="n"/>
      <c r="O104" s="8">
        <f>IF(G104="","",TODAY()-G104)</f>
        <v/>
      </c>
      <c r="P104" s="8">
        <f>IF(OR(G104="",J104="Оплатили",J104="Отказ",J104="Показ",J104="Пробный месяц"),"",IF(TODAY()-G104&gt;=3,"да",""))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6" t="n"/>
      <c r="H105" s="15" t="n"/>
      <c r="I105" s="15" t="n"/>
      <c r="J105" s="15" t="n"/>
      <c r="K105" s="15" t="n"/>
      <c r="L105" s="16" t="n"/>
      <c r="M105" s="15" t="n"/>
      <c r="N105" s="17" t="n"/>
      <c r="O105" s="8">
        <f>IF(G105="","",TODAY()-G105)</f>
        <v/>
      </c>
      <c r="P105" s="8">
        <f>IF(OR(G105="",J105="Оплатили",J105="Отказ",J105="Показ",J105="Пробный месяц"),"",IF(TODAY()-G105&gt;=3,"да",""))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6" t="n"/>
      <c r="H106" s="15" t="n"/>
      <c r="I106" s="15" t="n"/>
      <c r="J106" s="15" t="n"/>
      <c r="K106" s="15" t="n"/>
      <c r="L106" s="16" t="n"/>
      <c r="M106" s="15" t="n"/>
      <c r="N106" s="17" t="n"/>
      <c r="O106" s="8">
        <f>IF(G106="","",TODAY()-G106)</f>
        <v/>
      </c>
      <c r="P106" s="8">
        <f>IF(OR(G106="",J106="Оплатили",J106="Отказ",J106="Показ",J106="Пробный месяц"),"",IF(TODAY()-G106&gt;=3,"да",""))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6" t="n"/>
      <c r="H107" s="15" t="n"/>
      <c r="I107" s="15" t="n"/>
      <c r="J107" s="15" t="n"/>
      <c r="K107" s="15" t="n"/>
      <c r="L107" s="16" t="n"/>
      <c r="M107" s="15" t="n"/>
      <c r="N107" s="17" t="n"/>
      <c r="O107" s="8">
        <f>IF(G107="","",TODAY()-G107)</f>
        <v/>
      </c>
      <c r="P107" s="8">
        <f>IF(OR(G107="",J107="Оплатили",J107="Отказ",J107="Показ",J107="Пробный месяц"),"",IF(TODAY()-G107&gt;=3,"да",""))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6" t="n"/>
      <c r="H108" s="15" t="n"/>
      <c r="I108" s="15" t="n"/>
      <c r="J108" s="15" t="n"/>
      <c r="K108" s="15" t="n"/>
      <c r="L108" s="16" t="n"/>
      <c r="M108" s="15" t="n"/>
      <c r="N108" s="17" t="n"/>
      <c r="O108" s="8">
        <f>IF(G108="","",TODAY()-G108)</f>
        <v/>
      </c>
      <c r="P108" s="8">
        <f>IF(OR(G108="",J108="Оплатили",J108="Отказ",J108="Показ",J108="Пробный месяц"),"",IF(TODAY()-G108&gt;=3,"да",""))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6" t="n"/>
      <c r="H109" s="15" t="n"/>
      <c r="I109" s="15" t="n"/>
      <c r="J109" s="15" t="n"/>
      <c r="K109" s="15" t="n"/>
      <c r="L109" s="16" t="n"/>
      <c r="M109" s="15" t="n"/>
      <c r="N109" s="17" t="n"/>
      <c r="O109" s="8">
        <f>IF(G109="","",TODAY()-G109)</f>
        <v/>
      </c>
      <c r="P109" s="8">
        <f>IF(OR(G109="",J109="Оплатили",J109="Отказ",J109="Показ",J109="Пробный месяц"),"",IF(TODAY()-G109&gt;=3,"да",""))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6" t="n"/>
      <c r="H110" s="15" t="n"/>
      <c r="I110" s="15" t="n"/>
      <c r="J110" s="15" t="n"/>
      <c r="K110" s="15" t="n"/>
      <c r="L110" s="16" t="n"/>
      <c r="M110" s="15" t="n"/>
      <c r="N110" s="17" t="n"/>
      <c r="O110" s="8">
        <f>IF(G110="","",TODAY()-G110)</f>
        <v/>
      </c>
      <c r="P110" s="8">
        <f>IF(OR(G110="",J110="Оплатили",J110="Отказ",J110="Показ",J110="Пробный месяц"),"",IF(TODAY()-G110&gt;=3,"да",""))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6" t="n"/>
      <c r="H111" s="15" t="n"/>
      <c r="I111" s="15" t="n"/>
      <c r="J111" s="15" t="n"/>
      <c r="K111" s="15" t="n"/>
      <c r="L111" s="16" t="n"/>
      <c r="M111" s="15" t="n"/>
      <c r="N111" s="17" t="n"/>
      <c r="O111" s="8">
        <f>IF(G111="","",TODAY()-G111)</f>
        <v/>
      </c>
      <c r="P111" s="8">
        <f>IF(OR(G111="",J111="Оплатили",J111="Отказ",J111="Показ",J111="Пробный месяц"),"",IF(TODAY()-G111&gt;=3,"да",""))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6" t="n"/>
      <c r="H112" s="15" t="n"/>
      <c r="I112" s="15" t="n"/>
      <c r="J112" s="15" t="n"/>
      <c r="K112" s="15" t="n"/>
      <c r="L112" s="16" t="n"/>
      <c r="M112" s="15" t="n"/>
      <c r="N112" s="17" t="n"/>
      <c r="O112" s="8">
        <f>IF(G112="","",TODAY()-G112)</f>
        <v/>
      </c>
      <c r="P112" s="8">
        <f>IF(OR(G112="",J112="Оплатили",J112="Отказ",J112="Показ",J112="Пробный месяц"),"",IF(TODAY()-G112&gt;=3,"да",""))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6" t="n"/>
      <c r="H113" s="15" t="n"/>
      <c r="I113" s="15" t="n"/>
      <c r="J113" s="15" t="n"/>
      <c r="K113" s="15" t="n"/>
      <c r="L113" s="16" t="n"/>
      <c r="M113" s="15" t="n"/>
      <c r="N113" s="17" t="n"/>
      <c r="O113" s="8">
        <f>IF(G113="","",TODAY()-G113)</f>
        <v/>
      </c>
      <c r="P113" s="8">
        <f>IF(OR(G113="",J113="Оплатили",J113="Отказ",J113="Показ",J113="Пробный месяц"),"",IF(TODAY()-G113&gt;=3,"да",""))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6" t="n"/>
      <c r="H114" s="15" t="n"/>
      <c r="I114" s="15" t="n"/>
      <c r="J114" s="15" t="n"/>
      <c r="K114" s="15" t="n"/>
      <c r="L114" s="16" t="n"/>
      <c r="M114" s="15" t="n"/>
      <c r="N114" s="17" t="n"/>
      <c r="O114" s="8">
        <f>IF(G114="","",TODAY()-G114)</f>
        <v/>
      </c>
      <c r="P114" s="8">
        <f>IF(OR(G114="",J114="Оплатили",J114="Отказ",J114="Показ",J114="Пробный месяц"),"",IF(TODAY()-G114&gt;=3,"да",""))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6" t="n"/>
      <c r="H115" s="15" t="n"/>
      <c r="I115" s="15" t="n"/>
      <c r="J115" s="15" t="n"/>
      <c r="K115" s="15" t="n"/>
      <c r="L115" s="16" t="n"/>
      <c r="M115" s="15" t="n"/>
      <c r="N115" s="17" t="n"/>
      <c r="O115" s="8">
        <f>IF(G115="","",TODAY()-G115)</f>
        <v/>
      </c>
      <c r="P115" s="8">
        <f>IF(OR(G115="",J115="Оплатили",J115="Отказ",J115="Показ",J115="Пробный месяц"),"",IF(TODAY()-G115&gt;=3,"да",""))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6" t="n"/>
      <c r="H116" s="15" t="n"/>
      <c r="I116" s="15" t="n"/>
      <c r="J116" s="15" t="n"/>
      <c r="K116" s="15" t="n"/>
      <c r="L116" s="16" t="n"/>
      <c r="M116" s="15" t="n"/>
      <c r="N116" s="17" t="n"/>
      <c r="O116" s="8">
        <f>IF(G116="","",TODAY()-G116)</f>
        <v/>
      </c>
      <c r="P116" s="8">
        <f>IF(OR(G116="",J116="Оплатили",J116="Отказ",J116="Показ",J116="Пробный месяц"),"",IF(TODAY()-G116&gt;=3,"да",""))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6" t="n"/>
      <c r="H117" s="15" t="n"/>
      <c r="I117" s="15" t="n"/>
      <c r="J117" s="15" t="n"/>
      <c r="K117" s="15" t="n"/>
      <c r="L117" s="16" t="n"/>
      <c r="M117" s="15" t="n"/>
      <c r="N117" s="17" t="n"/>
      <c r="O117" s="8">
        <f>IF(G117="","",TODAY()-G117)</f>
        <v/>
      </c>
      <c r="P117" s="8">
        <f>IF(OR(G117="",J117="Оплатили",J117="Отказ",J117="Показ",J117="Пробный месяц"),"",IF(TODAY()-G117&gt;=3,"да",""))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6" t="n"/>
      <c r="H118" s="15" t="n"/>
      <c r="I118" s="15" t="n"/>
      <c r="J118" s="15" t="n"/>
      <c r="K118" s="15" t="n"/>
      <c r="L118" s="16" t="n"/>
      <c r="M118" s="15" t="n"/>
      <c r="N118" s="17" t="n"/>
      <c r="O118" s="8">
        <f>IF(G118="","",TODAY()-G118)</f>
        <v/>
      </c>
      <c r="P118" s="8">
        <f>IF(OR(G118="",J118="Оплатили",J118="Отказ",J118="Показ",J118="Пробный месяц"),"",IF(TODAY()-G118&gt;=3,"да",""))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6" t="n"/>
      <c r="H119" s="15" t="n"/>
      <c r="I119" s="15" t="n"/>
      <c r="J119" s="15" t="n"/>
      <c r="K119" s="15" t="n"/>
      <c r="L119" s="16" t="n"/>
      <c r="M119" s="15" t="n"/>
      <c r="N119" s="17" t="n"/>
      <c r="O119" s="8">
        <f>IF(G119="","",TODAY()-G119)</f>
        <v/>
      </c>
      <c r="P119" s="8">
        <f>IF(OR(G119="",J119="Оплатили",J119="Отказ",J119="Показ",J119="Пробный месяц"),"",IF(TODAY()-G119&gt;=3,"да",""))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6" t="n"/>
      <c r="H120" s="15" t="n"/>
      <c r="I120" s="15" t="n"/>
      <c r="J120" s="15" t="n"/>
      <c r="K120" s="15" t="n"/>
      <c r="L120" s="16" t="n"/>
      <c r="M120" s="15" t="n"/>
      <c r="N120" s="17" t="n"/>
      <c r="O120" s="8">
        <f>IF(G120="","",TODAY()-G120)</f>
        <v/>
      </c>
      <c r="P120" s="8">
        <f>IF(OR(G120="",J120="Оплатили",J120="Отказ",J120="Показ",J120="Пробный месяц"),"",IF(TODAY()-G120&gt;=3,"да",""))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6" t="n"/>
      <c r="H121" s="15" t="n"/>
      <c r="I121" s="15" t="n"/>
      <c r="J121" s="15" t="n"/>
      <c r="K121" s="15" t="n"/>
      <c r="L121" s="16" t="n"/>
      <c r="M121" s="15" t="n"/>
      <c r="N121" s="17" t="n"/>
      <c r="O121" s="8">
        <f>IF(G121="","",TODAY()-G121)</f>
        <v/>
      </c>
      <c r="P121" s="8">
        <f>IF(OR(G121="",J121="Оплатили",J121="Отказ",J121="Показ",J121="Пробный месяц"),"",IF(TODAY()-G121&gt;=3,"да",""))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6" t="n"/>
      <c r="H122" s="15" t="n"/>
      <c r="I122" s="15" t="n"/>
      <c r="J122" s="15" t="n"/>
      <c r="K122" s="15" t="n"/>
      <c r="L122" s="16" t="n"/>
      <c r="M122" s="15" t="n"/>
      <c r="N122" s="17" t="n"/>
      <c r="O122" s="8">
        <f>IF(G122="","",TODAY()-G122)</f>
        <v/>
      </c>
      <c r="P122" s="8">
        <f>IF(OR(G122="",J122="Оплатили",J122="Отказ",J122="Показ",J122="Пробный месяц"),"",IF(TODAY()-G122&gt;=3,"да",""))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6" t="n"/>
      <c r="H123" s="15" t="n"/>
      <c r="I123" s="15" t="n"/>
      <c r="J123" s="15" t="n"/>
      <c r="K123" s="15" t="n"/>
      <c r="L123" s="16" t="n"/>
      <c r="M123" s="15" t="n"/>
      <c r="N123" s="17" t="n"/>
      <c r="O123" s="8">
        <f>IF(G123="","",TODAY()-G123)</f>
        <v/>
      </c>
      <c r="P123" s="8">
        <f>IF(OR(G123="",J123="Оплатили",J123="Отказ",J123="Показ",J123="Пробный месяц"),"",IF(TODAY()-G123&gt;=3,"да",""))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6" t="n"/>
      <c r="H124" s="15" t="n"/>
      <c r="I124" s="15" t="n"/>
      <c r="J124" s="15" t="n"/>
      <c r="K124" s="15" t="n"/>
      <c r="L124" s="16" t="n"/>
      <c r="M124" s="15" t="n"/>
      <c r="N124" s="17" t="n"/>
      <c r="O124" s="8">
        <f>IF(G124="","",TODAY()-G124)</f>
        <v/>
      </c>
      <c r="P124" s="8">
        <f>IF(OR(G124="",J124="Оплатили",J124="Отказ",J124="Показ",J124="Пробный месяц"),"",IF(TODAY()-G124&gt;=3,"да",""))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6" t="n"/>
      <c r="H125" s="15" t="n"/>
      <c r="I125" s="15" t="n"/>
      <c r="J125" s="15" t="n"/>
      <c r="K125" s="15" t="n"/>
      <c r="L125" s="16" t="n"/>
      <c r="M125" s="15" t="n"/>
      <c r="N125" s="17" t="n"/>
      <c r="O125" s="8">
        <f>IF(G125="","",TODAY()-G125)</f>
        <v/>
      </c>
      <c r="P125" s="8">
        <f>IF(OR(G125="",J125="Оплатили",J125="Отказ",J125="Показ",J125="Пробный месяц"),"",IF(TODAY()-G125&gt;=3,"да",""))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6" t="n"/>
      <c r="H126" s="15" t="n"/>
      <c r="I126" s="15" t="n"/>
      <c r="J126" s="15" t="n"/>
      <c r="K126" s="15" t="n"/>
      <c r="L126" s="16" t="n"/>
      <c r="M126" s="15" t="n"/>
      <c r="N126" s="17" t="n"/>
      <c r="O126" s="8">
        <f>IF(G126="","",TODAY()-G126)</f>
        <v/>
      </c>
      <c r="P126" s="8">
        <f>IF(OR(G126="",J126="Оплатили",J126="Отказ",J126="Показ",J126="Пробный месяц"),"",IF(TODAY()-G126&gt;=3,"да",""))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6" t="n"/>
      <c r="H127" s="15" t="n"/>
      <c r="I127" s="15" t="n"/>
      <c r="J127" s="15" t="n"/>
      <c r="K127" s="15" t="n"/>
      <c r="L127" s="16" t="n"/>
      <c r="M127" s="15" t="n"/>
      <c r="N127" s="17" t="n"/>
      <c r="O127" s="8">
        <f>IF(G127="","",TODAY()-G127)</f>
        <v/>
      </c>
      <c r="P127" s="8">
        <f>IF(OR(G127="",J127="Оплатили",J127="Отказ",J127="Показ",J127="Пробный месяц"),"",IF(TODAY()-G127&gt;=3,"да",""))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6" t="n"/>
      <c r="H128" s="15" t="n"/>
      <c r="I128" s="15" t="n"/>
      <c r="J128" s="15" t="n"/>
      <c r="K128" s="15" t="n"/>
      <c r="L128" s="16" t="n"/>
      <c r="M128" s="15" t="n"/>
      <c r="N128" s="17" t="n"/>
      <c r="O128" s="8">
        <f>IF(G128="","",TODAY()-G128)</f>
        <v/>
      </c>
      <c r="P128" s="8">
        <f>IF(OR(G128="",J128="Оплатили",J128="Отказ",J128="Показ",J128="Пробный месяц"),"",IF(TODAY()-G128&gt;=3,"да",""))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6" t="n"/>
      <c r="H129" s="15" t="n"/>
      <c r="I129" s="15" t="n"/>
      <c r="J129" s="15" t="n"/>
      <c r="K129" s="15" t="n"/>
      <c r="L129" s="16" t="n"/>
      <c r="M129" s="15" t="n"/>
      <c r="N129" s="17" t="n"/>
      <c r="O129" s="8">
        <f>IF(G129="","",TODAY()-G129)</f>
        <v/>
      </c>
      <c r="P129" s="8">
        <f>IF(OR(G129="",J129="Оплатили",J129="Отказ",J129="Показ",J129="Пробный месяц"),"",IF(TODAY()-G129&gt;=3,"да",""))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6" t="n"/>
      <c r="H130" s="15" t="n"/>
      <c r="I130" s="15" t="n"/>
      <c r="J130" s="15" t="n"/>
      <c r="K130" s="15" t="n"/>
      <c r="L130" s="16" t="n"/>
      <c r="M130" s="15" t="n"/>
      <c r="N130" s="17" t="n"/>
      <c r="O130" s="8">
        <f>IF(G130="","",TODAY()-G130)</f>
        <v/>
      </c>
      <c r="P130" s="8">
        <f>IF(OR(G130="",J130="Оплатили",J130="Отказ",J130="Показ",J130="Пробный месяц"),"",IF(TODAY()-G130&gt;=3,"да",""))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6" t="n"/>
      <c r="H131" s="15" t="n"/>
      <c r="I131" s="15" t="n"/>
      <c r="J131" s="15" t="n"/>
      <c r="K131" s="15" t="n"/>
      <c r="L131" s="16" t="n"/>
      <c r="M131" s="15" t="n"/>
      <c r="N131" s="17" t="n"/>
      <c r="O131" s="8">
        <f>IF(G131="","",TODAY()-G131)</f>
        <v/>
      </c>
      <c r="P131" s="8">
        <f>IF(OR(G131="",J131="Оплатили",J131="Отказ",J131="Показ",J131="Пробный месяц"),"",IF(TODAY()-G131&gt;=3,"да",""))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6" t="n"/>
      <c r="H132" s="15" t="n"/>
      <c r="I132" s="15" t="n"/>
      <c r="J132" s="15" t="n"/>
      <c r="K132" s="15" t="n"/>
      <c r="L132" s="16" t="n"/>
      <c r="M132" s="15" t="n"/>
      <c r="N132" s="17" t="n"/>
      <c r="O132" s="8">
        <f>IF(G132="","",TODAY()-G132)</f>
        <v/>
      </c>
      <c r="P132" s="8">
        <f>IF(OR(G132="",J132="Оплатили",J132="Отказ",J132="Показ",J132="Пробный месяц"),"",IF(TODAY()-G132&gt;=3,"да",""))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6" t="n"/>
      <c r="H133" s="15" t="n"/>
      <c r="I133" s="15" t="n"/>
      <c r="J133" s="15" t="n"/>
      <c r="K133" s="15" t="n"/>
      <c r="L133" s="16" t="n"/>
      <c r="M133" s="15" t="n"/>
      <c r="N133" s="17" t="n"/>
      <c r="O133" s="8">
        <f>IF(G133="","",TODAY()-G133)</f>
        <v/>
      </c>
      <c r="P133" s="8">
        <f>IF(OR(G133="",J133="Оплатили",J133="Отказ",J133="Показ",J133="Пробный месяц"),"",IF(TODAY()-G133&gt;=3,"да",""))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6" t="n"/>
      <c r="H134" s="15" t="n"/>
      <c r="I134" s="15" t="n"/>
      <c r="J134" s="15" t="n"/>
      <c r="K134" s="15" t="n"/>
      <c r="L134" s="16" t="n"/>
      <c r="M134" s="15" t="n"/>
      <c r="N134" s="17" t="n"/>
      <c r="O134" s="8">
        <f>IF(G134="","",TODAY()-G134)</f>
        <v/>
      </c>
      <c r="P134" s="8">
        <f>IF(OR(G134="",J134="Оплатили",J134="Отказ",J134="Показ",J134="Пробный месяц"),"",IF(TODAY()-G134&gt;=3,"да",""))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6" t="n"/>
      <c r="H135" s="15" t="n"/>
      <c r="I135" s="15" t="n"/>
      <c r="J135" s="15" t="n"/>
      <c r="K135" s="15" t="n"/>
      <c r="L135" s="16" t="n"/>
      <c r="M135" s="15" t="n"/>
      <c r="N135" s="17" t="n"/>
      <c r="O135" s="8">
        <f>IF(G135="","",TODAY()-G135)</f>
        <v/>
      </c>
      <c r="P135" s="8">
        <f>IF(OR(G135="",J135="Оплатили",J135="Отказ",J135="Показ",J135="Пробный месяц"),"",IF(TODAY()-G135&gt;=3,"да",""))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6" t="n"/>
      <c r="H136" s="15" t="n"/>
      <c r="I136" s="15" t="n"/>
      <c r="J136" s="15" t="n"/>
      <c r="K136" s="15" t="n"/>
      <c r="L136" s="16" t="n"/>
      <c r="M136" s="15" t="n"/>
      <c r="N136" s="17" t="n"/>
      <c r="O136" s="8">
        <f>IF(G136="","",TODAY()-G136)</f>
        <v/>
      </c>
      <c r="P136" s="8">
        <f>IF(OR(G136="",J136="Оплатили",J136="Отказ",J136="Показ",J136="Пробный месяц"),"",IF(TODAY()-G136&gt;=3,"да",""))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6" t="n"/>
      <c r="H137" s="15" t="n"/>
      <c r="I137" s="15" t="n"/>
      <c r="J137" s="15" t="n"/>
      <c r="K137" s="15" t="n"/>
      <c r="L137" s="16" t="n"/>
      <c r="M137" s="15" t="n"/>
      <c r="N137" s="17" t="n"/>
      <c r="O137" s="8">
        <f>IF(G137="","",TODAY()-G137)</f>
        <v/>
      </c>
      <c r="P137" s="8">
        <f>IF(OR(G137="",J137="Оплатили",J137="Отказ",J137="Показ",J137="Пробный месяц"),"",IF(TODAY()-G137&gt;=3,"да",""))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6" t="n"/>
      <c r="H138" s="15" t="n"/>
      <c r="I138" s="15" t="n"/>
      <c r="J138" s="15" t="n"/>
      <c r="K138" s="15" t="n"/>
      <c r="L138" s="16" t="n"/>
      <c r="M138" s="15" t="n"/>
      <c r="N138" s="17" t="n"/>
      <c r="O138" s="8">
        <f>IF(G138="","",TODAY()-G138)</f>
        <v/>
      </c>
      <c r="P138" s="8">
        <f>IF(OR(G138="",J138="Оплатили",J138="Отказ",J138="Показ",J138="Пробный месяц"),"",IF(TODAY()-G138&gt;=3,"да",""))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6" t="n"/>
      <c r="H139" s="15" t="n"/>
      <c r="I139" s="15" t="n"/>
      <c r="J139" s="15" t="n"/>
      <c r="K139" s="15" t="n"/>
      <c r="L139" s="16" t="n"/>
      <c r="M139" s="15" t="n"/>
      <c r="N139" s="17" t="n"/>
      <c r="O139" s="8">
        <f>IF(G139="","",TODAY()-G139)</f>
        <v/>
      </c>
      <c r="P139" s="8">
        <f>IF(OR(G139="",J139="Оплатили",J139="Отказ",J139="Показ",J139="Пробный месяц"),"",IF(TODAY()-G139&gt;=3,"да",""))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6" t="n"/>
      <c r="H140" s="15" t="n"/>
      <c r="I140" s="15" t="n"/>
      <c r="J140" s="15" t="n"/>
      <c r="K140" s="15" t="n"/>
      <c r="L140" s="16" t="n"/>
      <c r="M140" s="15" t="n"/>
      <c r="N140" s="17" t="n"/>
      <c r="O140" s="8">
        <f>IF(G140="","",TODAY()-G140)</f>
        <v/>
      </c>
      <c r="P140" s="8">
        <f>IF(OR(G140="",J140="Оплатили",J140="Отказ",J140="Показ",J140="Пробный месяц"),"",IF(TODAY()-G140&gt;=3,"да",""))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6" t="n"/>
      <c r="H141" s="15" t="n"/>
      <c r="I141" s="15" t="n"/>
      <c r="J141" s="15" t="n"/>
      <c r="K141" s="15" t="n"/>
      <c r="L141" s="16" t="n"/>
      <c r="M141" s="15" t="n"/>
      <c r="N141" s="17" t="n"/>
      <c r="O141" s="8">
        <f>IF(G141="","",TODAY()-G141)</f>
        <v/>
      </c>
      <c r="P141" s="8">
        <f>IF(OR(G141="",J141="Оплатили",J141="Отказ",J141="Показ",J141="Пробный месяц"),"",IF(TODAY()-G141&gt;=3,"да",""))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6" t="n"/>
      <c r="H142" s="15" t="n"/>
      <c r="I142" s="15" t="n"/>
      <c r="J142" s="15" t="n"/>
      <c r="K142" s="15" t="n"/>
      <c r="L142" s="16" t="n"/>
      <c r="M142" s="15" t="n"/>
      <c r="N142" s="17" t="n"/>
      <c r="O142" s="8">
        <f>IF(G142="","",TODAY()-G142)</f>
        <v/>
      </c>
      <c r="P142" s="8">
        <f>IF(OR(G142="",J142="Оплатили",J142="Отказ",J142="Показ",J142="Пробный месяц"),"",IF(TODAY()-G142&gt;=3,"да",""))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6" t="n"/>
      <c r="H143" s="15" t="n"/>
      <c r="I143" s="15" t="n"/>
      <c r="J143" s="15" t="n"/>
      <c r="K143" s="15" t="n"/>
      <c r="L143" s="16" t="n"/>
      <c r="M143" s="15" t="n"/>
      <c r="N143" s="17" t="n"/>
      <c r="O143" s="8">
        <f>IF(G143="","",TODAY()-G143)</f>
        <v/>
      </c>
      <c r="P143" s="8">
        <f>IF(OR(G143="",J143="Оплатили",J143="Отказ",J143="Показ",J143="Пробный месяц"),"",IF(TODAY()-G143&gt;=3,"да",""))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6" t="n"/>
      <c r="H144" s="15" t="n"/>
      <c r="I144" s="15" t="n"/>
      <c r="J144" s="15" t="n"/>
      <c r="K144" s="15" t="n"/>
      <c r="L144" s="16" t="n"/>
      <c r="M144" s="15" t="n"/>
      <c r="N144" s="17" t="n"/>
      <c r="O144" s="8">
        <f>IF(G144="","",TODAY()-G144)</f>
        <v/>
      </c>
      <c r="P144" s="8">
        <f>IF(OR(G144="",J144="Оплатили",J144="Отказ",J144="Показ",J144="Пробный месяц"),"",IF(TODAY()-G144&gt;=3,"да",""))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6" t="n"/>
      <c r="H145" s="15" t="n"/>
      <c r="I145" s="15" t="n"/>
      <c r="J145" s="15" t="n"/>
      <c r="K145" s="15" t="n"/>
      <c r="L145" s="16" t="n"/>
      <c r="M145" s="15" t="n"/>
      <c r="N145" s="17" t="n"/>
      <c r="O145" s="8">
        <f>IF(G145="","",TODAY()-G145)</f>
        <v/>
      </c>
      <c r="P145" s="8">
        <f>IF(OR(G145="",J145="Оплатили",J145="Отказ",J145="Показ",J145="Пробный месяц"),"",IF(TODAY()-G145&gt;=3,"да",""))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6" t="n"/>
      <c r="H146" s="15" t="n"/>
      <c r="I146" s="15" t="n"/>
      <c r="J146" s="15" t="n"/>
      <c r="K146" s="15" t="n"/>
      <c r="L146" s="16" t="n"/>
      <c r="M146" s="15" t="n"/>
      <c r="N146" s="17" t="n"/>
      <c r="O146" s="8">
        <f>IF(G146="","",TODAY()-G146)</f>
        <v/>
      </c>
      <c r="P146" s="8">
        <f>IF(OR(G146="",J146="Оплатили",J146="Отказ",J146="Показ",J146="Пробный месяц"),"",IF(TODAY()-G146&gt;=3,"да",""))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6" t="n"/>
      <c r="H147" s="15" t="n"/>
      <c r="I147" s="15" t="n"/>
      <c r="J147" s="15" t="n"/>
      <c r="K147" s="15" t="n"/>
      <c r="L147" s="16" t="n"/>
      <c r="M147" s="15" t="n"/>
      <c r="N147" s="17" t="n"/>
      <c r="O147" s="8">
        <f>IF(G147="","",TODAY()-G147)</f>
        <v/>
      </c>
      <c r="P147" s="8">
        <f>IF(OR(G147="",J147="Оплатили",J147="Отказ",J147="Показ",J147="Пробный месяц"),"",IF(TODAY()-G147&gt;=3,"да",""))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6" t="n"/>
      <c r="H148" s="15" t="n"/>
      <c r="I148" s="15" t="n"/>
      <c r="J148" s="15" t="n"/>
      <c r="K148" s="15" t="n"/>
      <c r="L148" s="16" t="n"/>
      <c r="M148" s="15" t="n"/>
      <c r="N148" s="17" t="n"/>
      <c r="O148" s="8">
        <f>IF(G148="","",TODAY()-G148)</f>
        <v/>
      </c>
      <c r="P148" s="8">
        <f>IF(OR(G148="",J148="Оплатили",J148="Отказ",J148="Показ",J148="Пробный месяц"),"",IF(TODAY()-G148&gt;=3,"да",""))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6" t="n"/>
      <c r="H149" s="15" t="n"/>
      <c r="I149" s="15" t="n"/>
      <c r="J149" s="15" t="n"/>
      <c r="K149" s="15" t="n"/>
      <c r="L149" s="16" t="n"/>
      <c r="M149" s="15" t="n"/>
      <c r="N149" s="17" t="n"/>
      <c r="O149" s="8">
        <f>IF(G149="","",TODAY()-G149)</f>
        <v/>
      </c>
      <c r="P149" s="8">
        <f>IF(OR(G149="",J149="Оплатили",J149="Отказ",J149="Показ",J149="Пробный месяц"),"",IF(TODAY()-G149&gt;=3,"да",""))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6" t="n"/>
      <c r="H150" s="15" t="n"/>
      <c r="I150" s="15" t="n"/>
      <c r="J150" s="15" t="n"/>
      <c r="K150" s="15" t="n"/>
      <c r="L150" s="16" t="n"/>
      <c r="M150" s="15" t="n"/>
      <c r="N150" s="17" t="n"/>
      <c r="O150" s="8">
        <f>IF(G150="","",TODAY()-G150)</f>
        <v/>
      </c>
      <c r="P150" s="8">
        <f>IF(OR(G150="",J150="Оплатили",J150="Отказ",J150="Показ",J150="Пробный месяц"),"",IF(TODAY()-G150&gt;=3,"да",""))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6" t="n"/>
      <c r="H151" s="15" t="n"/>
      <c r="I151" s="15" t="n"/>
      <c r="J151" s="15" t="n"/>
      <c r="K151" s="15" t="n"/>
      <c r="L151" s="16" t="n"/>
      <c r="M151" s="15" t="n"/>
      <c r="N151" s="17" t="n"/>
      <c r="O151" s="8">
        <f>IF(G151="","",TODAY()-G151)</f>
        <v/>
      </c>
      <c r="P151" s="8">
        <f>IF(OR(G151="",J151="Оплатили",J151="Отказ",J151="Показ",J151="Пробный месяц"),"",IF(TODAY()-G151&gt;=3,"да",""))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6" t="n"/>
      <c r="H152" s="15" t="n"/>
      <c r="I152" s="15" t="n"/>
      <c r="J152" s="15" t="n"/>
      <c r="K152" s="15" t="n"/>
      <c r="L152" s="16" t="n"/>
      <c r="M152" s="15" t="n"/>
      <c r="N152" s="17" t="n"/>
      <c r="O152" s="8">
        <f>IF(G152="","",TODAY()-G152)</f>
        <v/>
      </c>
      <c r="P152" s="8">
        <f>IF(OR(G152="",J152="Оплатили",J152="Отказ",J152="Показ",J152="Пробный месяц"),"",IF(TODAY()-G152&gt;=3,"да",""))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6" t="n"/>
      <c r="H153" s="15" t="n"/>
      <c r="I153" s="15" t="n"/>
      <c r="J153" s="15" t="n"/>
      <c r="K153" s="15" t="n"/>
      <c r="L153" s="16" t="n"/>
      <c r="M153" s="15" t="n"/>
      <c r="N153" s="17" t="n"/>
      <c r="O153" s="8">
        <f>IF(G153="","",TODAY()-G153)</f>
        <v/>
      </c>
      <c r="P153" s="8">
        <f>IF(OR(G153="",J153="Оплатили",J153="Отказ",J153="Показ",J153="Пробный месяц"),"",IF(TODAY()-G153&gt;=3,"да",""))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6" t="n"/>
      <c r="H154" s="15" t="n"/>
      <c r="I154" s="15" t="n"/>
      <c r="J154" s="15" t="n"/>
      <c r="K154" s="15" t="n"/>
      <c r="L154" s="16" t="n"/>
      <c r="M154" s="15" t="n"/>
      <c r="N154" s="17" t="n"/>
      <c r="O154" s="8">
        <f>IF(G154="","",TODAY()-G154)</f>
        <v/>
      </c>
      <c r="P154" s="8">
        <f>IF(OR(G154="",J154="Оплатили",J154="Отказ",J154="Показ",J154="Пробный месяц"),"",IF(TODAY()-G154&gt;=3,"да",""))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6" t="n"/>
      <c r="H155" s="15" t="n"/>
      <c r="I155" s="15" t="n"/>
      <c r="J155" s="15" t="n"/>
      <c r="K155" s="15" t="n"/>
      <c r="L155" s="16" t="n"/>
      <c r="M155" s="15" t="n"/>
      <c r="N155" s="17" t="n"/>
      <c r="O155" s="8">
        <f>IF(G155="","",TODAY()-G155)</f>
        <v/>
      </c>
      <c r="P155" s="8">
        <f>IF(OR(G155="",J155="Оплатили",J155="Отказ",J155="Показ",J155="Пробный месяц"),"",IF(TODAY()-G155&gt;=3,"да",""))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6" t="n"/>
      <c r="H156" s="15" t="n"/>
      <c r="I156" s="15" t="n"/>
      <c r="J156" s="15" t="n"/>
      <c r="K156" s="15" t="n"/>
      <c r="L156" s="16" t="n"/>
      <c r="M156" s="15" t="n"/>
      <c r="N156" s="17" t="n"/>
      <c r="O156" s="8">
        <f>IF(G156="","",TODAY()-G156)</f>
        <v/>
      </c>
      <c r="P156" s="8">
        <f>IF(OR(G156="",J156="Оплатили",J156="Отказ",J156="Показ",J156="Пробный месяц"),"",IF(TODAY()-G156&gt;=3,"да",""))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6" t="n"/>
      <c r="H157" s="15" t="n"/>
      <c r="I157" s="15" t="n"/>
      <c r="J157" s="15" t="n"/>
      <c r="K157" s="15" t="n"/>
      <c r="L157" s="16" t="n"/>
      <c r="M157" s="15" t="n"/>
      <c r="N157" s="17" t="n"/>
      <c r="O157" s="8">
        <f>IF(G157="","",TODAY()-G157)</f>
        <v/>
      </c>
      <c r="P157" s="8">
        <f>IF(OR(G157="",J157="Оплатили",J157="Отказ",J157="Показ",J157="Пробный месяц"),"",IF(TODAY()-G157&gt;=3,"да",""))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6" t="n"/>
      <c r="H158" s="15" t="n"/>
      <c r="I158" s="15" t="n"/>
      <c r="J158" s="15" t="n"/>
      <c r="K158" s="15" t="n"/>
      <c r="L158" s="16" t="n"/>
      <c r="M158" s="15" t="n"/>
      <c r="N158" s="17" t="n"/>
      <c r="O158" s="8">
        <f>IF(G158="","",TODAY()-G158)</f>
        <v/>
      </c>
      <c r="P158" s="8">
        <f>IF(OR(G158="",J158="Оплатили",J158="Отказ",J158="Показ",J158="Пробный месяц"),"",IF(TODAY()-G158&gt;=3,"да",""))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6" t="n"/>
      <c r="H159" s="15" t="n"/>
      <c r="I159" s="15" t="n"/>
      <c r="J159" s="15" t="n"/>
      <c r="K159" s="15" t="n"/>
      <c r="L159" s="16" t="n"/>
      <c r="M159" s="15" t="n"/>
      <c r="N159" s="17" t="n"/>
      <c r="O159" s="8">
        <f>IF(G159="","",TODAY()-G159)</f>
        <v/>
      </c>
      <c r="P159" s="8">
        <f>IF(OR(G159="",J159="Оплатили",J159="Отказ",J159="Показ",J159="Пробный месяц"),"",IF(TODAY()-G159&gt;=3,"да",""))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6" t="n"/>
      <c r="H160" s="15" t="n"/>
      <c r="I160" s="15" t="n"/>
      <c r="J160" s="15" t="n"/>
      <c r="K160" s="15" t="n"/>
      <c r="L160" s="16" t="n"/>
      <c r="M160" s="15" t="n"/>
      <c r="N160" s="17" t="n"/>
      <c r="O160" s="8">
        <f>IF(G160="","",TODAY()-G160)</f>
        <v/>
      </c>
      <c r="P160" s="8">
        <f>IF(OR(G160="",J160="Оплатили",J160="Отказ",J160="Показ",J160="Пробный месяц"),"",IF(TODAY()-G160&gt;=3,"да",""))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6" t="n"/>
      <c r="H161" s="15" t="n"/>
      <c r="I161" s="15" t="n"/>
      <c r="J161" s="15" t="n"/>
      <c r="K161" s="15" t="n"/>
      <c r="L161" s="16" t="n"/>
      <c r="M161" s="15" t="n"/>
      <c r="N161" s="17" t="n"/>
      <c r="O161" s="8">
        <f>IF(G161="","",TODAY()-G161)</f>
        <v/>
      </c>
      <c r="P161" s="8">
        <f>IF(OR(G161="",J161="Оплатили",J161="Отказ",J161="Показ",J161="Пробный месяц"),"",IF(TODAY()-G161&gt;=3,"да",""))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6" t="n"/>
      <c r="H162" s="15" t="n"/>
      <c r="I162" s="15" t="n"/>
      <c r="J162" s="15" t="n"/>
      <c r="K162" s="15" t="n"/>
      <c r="L162" s="16" t="n"/>
      <c r="M162" s="15" t="n"/>
      <c r="N162" s="17" t="n"/>
      <c r="O162" s="8">
        <f>IF(G162="","",TODAY()-G162)</f>
        <v/>
      </c>
      <c r="P162" s="8">
        <f>IF(OR(G162="",J162="Оплатили",J162="Отказ",J162="Показ",J162="Пробный месяц"),"",IF(TODAY()-G162&gt;=3,"да",""))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6" t="n"/>
      <c r="H163" s="15" t="n"/>
      <c r="I163" s="15" t="n"/>
      <c r="J163" s="15" t="n"/>
      <c r="K163" s="15" t="n"/>
      <c r="L163" s="16" t="n"/>
      <c r="M163" s="15" t="n"/>
      <c r="N163" s="17" t="n"/>
      <c r="O163" s="8">
        <f>IF(G163="","",TODAY()-G163)</f>
        <v/>
      </c>
      <c r="P163" s="8">
        <f>IF(OR(G163="",J163="Оплатили",J163="Отказ",J163="Показ",J163="Пробный месяц"),"",IF(TODAY()-G163&gt;=3,"да",""))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6" t="n"/>
      <c r="H164" s="15" t="n"/>
      <c r="I164" s="15" t="n"/>
      <c r="J164" s="15" t="n"/>
      <c r="K164" s="15" t="n"/>
      <c r="L164" s="16" t="n"/>
      <c r="M164" s="15" t="n"/>
      <c r="N164" s="17" t="n"/>
      <c r="O164" s="8">
        <f>IF(G164="","",TODAY()-G164)</f>
        <v/>
      </c>
      <c r="P164" s="8">
        <f>IF(OR(G164="",J164="Оплатили",J164="Отказ",J164="Показ",J164="Пробный месяц"),"",IF(TODAY()-G164&gt;=3,"да",""))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6" t="n"/>
      <c r="H165" s="15" t="n"/>
      <c r="I165" s="15" t="n"/>
      <c r="J165" s="15" t="n"/>
      <c r="K165" s="15" t="n"/>
      <c r="L165" s="16" t="n"/>
      <c r="M165" s="15" t="n"/>
      <c r="N165" s="17" t="n"/>
      <c r="O165" s="8">
        <f>IF(G165="","",TODAY()-G165)</f>
        <v/>
      </c>
      <c r="P165" s="8">
        <f>IF(OR(G165="",J165="Оплатили",J165="Отказ",J165="Показ",J165="Пробный месяц"),"",IF(TODAY()-G165&gt;=3,"да",""))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6" t="n"/>
      <c r="H166" s="15" t="n"/>
      <c r="I166" s="15" t="n"/>
      <c r="J166" s="15" t="n"/>
      <c r="K166" s="15" t="n"/>
      <c r="L166" s="16" t="n"/>
      <c r="M166" s="15" t="n"/>
      <c r="N166" s="17" t="n"/>
      <c r="O166" s="8">
        <f>IF(G166="","",TODAY()-G166)</f>
        <v/>
      </c>
      <c r="P166" s="8">
        <f>IF(OR(G166="",J166="Оплатили",J166="Отказ",J166="Показ",J166="Пробный месяц"),"",IF(TODAY()-G166&gt;=3,"да",""))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6" t="n"/>
      <c r="H167" s="15" t="n"/>
      <c r="I167" s="15" t="n"/>
      <c r="J167" s="15" t="n"/>
      <c r="K167" s="15" t="n"/>
      <c r="L167" s="16" t="n"/>
      <c r="M167" s="15" t="n"/>
      <c r="N167" s="17" t="n"/>
      <c r="O167" s="8">
        <f>IF(G167="","",TODAY()-G167)</f>
        <v/>
      </c>
      <c r="P167" s="8">
        <f>IF(OR(G167="",J167="Оплатили",J167="Отказ",J167="Показ",J167="Пробный месяц"),"",IF(TODAY()-G167&gt;=3,"да",""))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6" t="n"/>
      <c r="H168" s="15" t="n"/>
      <c r="I168" s="15" t="n"/>
      <c r="J168" s="15" t="n"/>
      <c r="K168" s="15" t="n"/>
      <c r="L168" s="16" t="n"/>
      <c r="M168" s="15" t="n"/>
      <c r="N168" s="17" t="n"/>
      <c r="O168" s="8">
        <f>IF(G168="","",TODAY()-G168)</f>
        <v/>
      </c>
      <c r="P168" s="8">
        <f>IF(OR(G168="",J168="Оплатили",J168="Отказ",J168="Показ",J168="Пробный месяц"),"",IF(TODAY()-G168&gt;=3,"да",""))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6" t="n"/>
      <c r="H169" s="15" t="n"/>
      <c r="I169" s="15" t="n"/>
      <c r="J169" s="15" t="n"/>
      <c r="K169" s="15" t="n"/>
      <c r="L169" s="16" t="n"/>
      <c r="M169" s="15" t="n"/>
      <c r="N169" s="17" t="n"/>
      <c r="O169" s="8">
        <f>IF(G169="","",TODAY()-G169)</f>
        <v/>
      </c>
      <c r="P169" s="8">
        <f>IF(OR(G169="",J169="Оплатили",J169="Отказ",J169="Показ",J169="Пробный месяц"),"",IF(TODAY()-G169&gt;=3,"да",""))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6" t="n"/>
      <c r="H170" s="15" t="n"/>
      <c r="I170" s="15" t="n"/>
      <c r="J170" s="15" t="n"/>
      <c r="K170" s="15" t="n"/>
      <c r="L170" s="16" t="n"/>
      <c r="M170" s="15" t="n"/>
      <c r="N170" s="17" t="n"/>
      <c r="O170" s="8">
        <f>IF(G170="","",TODAY()-G170)</f>
        <v/>
      </c>
      <c r="P170" s="8">
        <f>IF(OR(G170="",J170="Оплатили",J170="Отказ",J170="Показ",J170="Пробный месяц"),"",IF(TODAY()-G170&gt;=3,"да",""))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6" t="n"/>
      <c r="H171" s="15" t="n"/>
      <c r="I171" s="15" t="n"/>
      <c r="J171" s="15" t="n"/>
      <c r="K171" s="15" t="n"/>
      <c r="L171" s="16" t="n"/>
      <c r="M171" s="15" t="n"/>
      <c r="N171" s="17" t="n"/>
      <c r="O171" s="8">
        <f>IF(G171="","",TODAY()-G171)</f>
        <v/>
      </c>
      <c r="P171" s="8">
        <f>IF(OR(G171="",J171="Оплатили",J171="Отказ",J171="Показ",J171="Пробный месяц"),"",IF(TODAY()-G171&gt;=3,"да",""))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6" t="n"/>
      <c r="H172" s="15" t="n"/>
      <c r="I172" s="15" t="n"/>
      <c r="J172" s="15" t="n"/>
      <c r="K172" s="15" t="n"/>
      <c r="L172" s="16" t="n"/>
      <c r="M172" s="15" t="n"/>
      <c r="N172" s="17" t="n"/>
      <c r="O172" s="8">
        <f>IF(G172="","",TODAY()-G172)</f>
        <v/>
      </c>
      <c r="P172" s="8">
        <f>IF(OR(G172="",J172="Оплатили",J172="Отказ",J172="Показ",J172="Пробный месяц"),"",IF(TODAY()-G172&gt;=3,"да",""))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6" t="n"/>
      <c r="H173" s="15" t="n"/>
      <c r="I173" s="15" t="n"/>
      <c r="J173" s="15" t="n"/>
      <c r="K173" s="15" t="n"/>
      <c r="L173" s="16" t="n"/>
      <c r="M173" s="15" t="n"/>
      <c r="N173" s="17" t="n"/>
      <c r="O173" s="8">
        <f>IF(G173="","",TODAY()-G173)</f>
        <v/>
      </c>
      <c r="P173" s="8">
        <f>IF(OR(G173="",J173="Оплатили",J173="Отказ",J173="Показ",J173="Пробный месяц"),"",IF(TODAY()-G173&gt;=3,"да",""))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6" t="n"/>
      <c r="H174" s="15" t="n"/>
      <c r="I174" s="15" t="n"/>
      <c r="J174" s="15" t="n"/>
      <c r="K174" s="15" t="n"/>
      <c r="L174" s="16" t="n"/>
      <c r="M174" s="15" t="n"/>
      <c r="N174" s="17" t="n"/>
      <c r="O174" s="8">
        <f>IF(G174="","",TODAY()-G174)</f>
        <v/>
      </c>
      <c r="P174" s="8">
        <f>IF(OR(G174="",J174="Оплатили",J174="Отказ",J174="Показ",J174="Пробный месяц"),"",IF(TODAY()-G174&gt;=3,"да",""))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6" t="n"/>
      <c r="H175" s="15" t="n"/>
      <c r="I175" s="15" t="n"/>
      <c r="J175" s="15" t="n"/>
      <c r="K175" s="15" t="n"/>
      <c r="L175" s="16" t="n"/>
      <c r="M175" s="15" t="n"/>
      <c r="N175" s="17" t="n"/>
      <c r="O175" s="8">
        <f>IF(G175="","",TODAY()-G175)</f>
        <v/>
      </c>
      <c r="P175" s="8">
        <f>IF(OR(G175="",J175="Оплатили",J175="Отказ",J175="Показ",J175="Пробный месяц"),"",IF(TODAY()-G175&gt;=3,"да",""))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6" t="n"/>
      <c r="H176" s="15" t="n"/>
      <c r="I176" s="15" t="n"/>
      <c r="J176" s="15" t="n"/>
      <c r="K176" s="15" t="n"/>
      <c r="L176" s="16" t="n"/>
      <c r="M176" s="15" t="n"/>
      <c r="N176" s="17" t="n"/>
      <c r="O176" s="8">
        <f>IF(G176="","",TODAY()-G176)</f>
        <v/>
      </c>
      <c r="P176" s="8">
        <f>IF(OR(G176="",J176="Оплатили",J176="Отказ",J176="Показ",J176="Пробный месяц"),"",IF(TODAY()-G176&gt;=3,"да",""))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6" t="n"/>
      <c r="H177" s="15" t="n"/>
      <c r="I177" s="15" t="n"/>
      <c r="J177" s="15" t="n"/>
      <c r="K177" s="15" t="n"/>
      <c r="L177" s="16" t="n"/>
      <c r="M177" s="15" t="n"/>
      <c r="N177" s="17" t="n"/>
      <c r="O177" s="8">
        <f>IF(G177="","",TODAY()-G177)</f>
        <v/>
      </c>
      <c r="P177" s="8">
        <f>IF(OR(G177="",J177="Оплатили",J177="Отказ",J177="Показ",J177="Пробный месяц"),"",IF(TODAY()-G177&gt;=3,"да",""))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6" t="n"/>
      <c r="H178" s="15" t="n"/>
      <c r="I178" s="15" t="n"/>
      <c r="J178" s="15" t="n"/>
      <c r="K178" s="15" t="n"/>
      <c r="L178" s="16" t="n"/>
      <c r="M178" s="15" t="n"/>
      <c r="N178" s="17" t="n"/>
      <c r="O178" s="8">
        <f>IF(G178="","",TODAY()-G178)</f>
        <v/>
      </c>
      <c r="P178" s="8">
        <f>IF(OR(G178="",J178="Оплатили",J178="Отказ",J178="Показ",J178="Пробный месяц"),"",IF(TODAY()-G178&gt;=3,"да",""))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6" t="n"/>
      <c r="H179" s="15" t="n"/>
      <c r="I179" s="15" t="n"/>
      <c r="J179" s="15" t="n"/>
      <c r="K179" s="15" t="n"/>
      <c r="L179" s="16" t="n"/>
      <c r="M179" s="15" t="n"/>
      <c r="N179" s="17" t="n"/>
      <c r="O179" s="8">
        <f>IF(G179="","",TODAY()-G179)</f>
        <v/>
      </c>
      <c r="P179" s="8">
        <f>IF(OR(G179="",J179="Оплатили",J179="Отказ",J179="Показ",J179="Пробный месяц"),"",IF(TODAY()-G179&gt;=3,"да",""))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6" t="n"/>
      <c r="H180" s="15" t="n"/>
      <c r="I180" s="15" t="n"/>
      <c r="J180" s="15" t="n"/>
      <c r="K180" s="15" t="n"/>
      <c r="L180" s="16" t="n"/>
      <c r="M180" s="15" t="n"/>
      <c r="N180" s="17" t="n"/>
      <c r="O180" s="8">
        <f>IF(G180="","",TODAY()-G180)</f>
        <v/>
      </c>
      <c r="P180" s="8">
        <f>IF(OR(G180="",J180="Оплатили",J180="Отказ",J180="Показ",J180="Пробный месяц"),"",IF(TODAY()-G180&gt;=3,"да",""))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6" t="n"/>
      <c r="H181" s="15" t="n"/>
      <c r="I181" s="15" t="n"/>
      <c r="J181" s="15" t="n"/>
      <c r="K181" s="15" t="n"/>
      <c r="L181" s="16" t="n"/>
      <c r="M181" s="15" t="n"/>
      <c r="N181" s="17" t="n"/>
      <c r="O181" s="8">
        <f>IF(G181="","",TODAY()-G181)</f>
        <v/>
      </c>
      <c r="P181" s="8">
        <f>IF(OR(G181="",J181="Оплатили",J181="Отказ",J181="Показ",J181="Пробный месяц"),"",IF(TODAY()-G181&gt;=3,"да",""))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6" t="n"/>
      <c r="H182" s="15" t="n"/>
      <c r="I182" s="15" t="n"/>
      <c r="J182" s="15" t="n"/>
      <c r="K182" s="15" t="n"/>
      <c r="L182" s="16" t="n"/>
      <c r="M182" s="15" t="n"/>
      <c r="N182" s="17" t="n"/>
      <c r="O182" s="8">
        <f>IF(G182="","",TODAY()-G182)</f>
        <v/>
      </c>
      <c r="P182" s="8">
        <f>IF(OR(G182="",J182="Оплатили",J182="Отказ",J182="Показ",J182="Пробный месяц"),"",IF(TODAY()-G182&gt;=3,"да",""))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6" t="n"/>
      <c r="H183" s="15" t="n"/>
      <c r="I183" s="15" t="n"/>
      <c r="J183" s="15" t="n"/>
      <c r="K183" s="15" t="n"/>
      <c r="L183" s="16" t="n"/>
      <c r="M183" s="15" t="n"/>
      <c r="N183" s="17" t="n"/>
      <c r="O183" s="8">
        <f>IF(G183="","",TODAY()-G183)</f>
        <v/>
      </c>
      <c r="P183" s="8">
        <f>IF(OR(G183="",J183="Оплатили",J183="Отказ",J183="Показ",J183="Пробный месяц"),"",IF(TODAY()-G183&gt;=3,"да",""))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6" t="n"/>
      <c r="H184" s="15" t="n"/>
      <c r="I184" s="15" t="n"/>
      <c r="J184" s="15" t="n"/>
      <c r="K184" s="15" t="n"/>
      <c r="L184" s="16" t="n"/>
      <c r="M184" s="15" t="n"/>
      <c r="N184" s="17" t="n"/>
      <c r="O184" s="8">
        <f>IF(G184="","",TODAY()-G184)</f>
        <v/>
      </c>
      <c r="P184" s="8">
        <f>IF(OR(G184="",J184="Оплатили",J184="Отказ",J184="Показ",J184="Пробный месяц"),"",IF(TODAY()-G184&gt;=3,"да",""))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6" t="n"/>
      <c r="H185" s="15" t="n"/>
      <c r="I185" s="15" t="n"/>
      <c r="J185" s="15" t="n"/>
      <c r="K185" s="15" t="n"/>
      <c r="L185" s="16" t="n"/>
      <c r="M185" s="15" t="n"/>
      <c r="N185" s="17" t="n"/>
      <c r="O185" s="8">
        <f>IF(G185="","",TODAY()-G185)</f>
        <v/>
      </c>
      <c r="P185" s="8">
        <f>IF(OR(G185="",J185="Оплатили",J185="Отказ",J185="Показ",J185="Пробный месяц"),"",IF(TODAY()-G185&gt;=3,"да",""))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6" t="n"/>
      <c r="H186" s="15" t="n"/>
      <c r="I186" s="15" t="n"/>
      <c r="J186" s="15" t="n"/>
      <c r="K186" s="15" t="n"/>
      <c r="L186" s="16" t="n"/>
      <c r="M186" s="15" t="n"/>
      <c r="N186" s="17" t="n"/>
      <c r="O186" s="8">
        <f>IF(G186="","",TODAY()-G186)</f>
        <v/>
      </c>
      <c r="P186" s="8">
        <f>IF(OR(G186="",J186="Оплатили",J186="Отказ",J186="Показ",J186="Пробный месяц"),"",IF(TODAY()-G186&gt;=3,"да",""))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6" t="n"/>
      <c r="H187" s="15" t="n"/>
      <c r="I187" s="15" t="n"/>
      <c r="J187" s="15" t="n"/>
      <c r="K187" s="15" t="n"/>
      <c r="L187" s="16" t="n"/>
      <c r="M187" s="15" t="n"/>
      <c r="N187" s="17" t="n"/>
      <c r="O187" s="8">
        <f>IF(G187="","",TODAY()-G187)</f>
        <v/>
      </c>
      <c r="P187" s="8">
        <f>IF(OR(G187="",J187="Оплатили",J187="Отказ",J187="Показ",J187="Пробный месяц"),"",IF(TODAY()-G187&gt;=3,"да",""))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6" t="n"/>
      <c r="H188" s="15" t="n"/>
      <c r="I188" s="15" t="n"/>
      <c r="J188" s="15" t="n"/>
      <c r="K188" s="15" t="n"/>
      <c r="L188" s="16" t="n"/>
      <c r="M188" s="15" t="n"/>
      <c r="N188" s="17" t="n"/>
      <c r="O188" s="8">
        <f>IF(G188="","",TODAY()-G188)</f>
        <v/>
      </c>
      <c r="P188" s="8">
        <f>IF(OR(G188="",J188="Оплатили",J188="Отказ",J188="Показ",J188="Пробный месяц"),"",IF(TODAY()-G188&gt;=3,"да",""))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6" t="n"/>
      <c r="H189" s="15" t="n"/>
      <c r="I189" s="15" t="n"/>
      <c r="J189" s="15" t="n"/>
      <c r="K189" s="15" t="n"/>
      <c r="L189" s="16" t="n"/>
      <c r="M189" s="15" t="n"/>
      <c r="N189" s="17" t="n"/>
      <c r="O189" s="8">
        <f>IF(G189="","",TODAY()-G189)</f>
        <v/>
      </c>
      <c r="P189" s="8">
        <f>IF(OR(G189="",J189="Оплатили",J189="Отказ",J189="Показ",J189="Пробный месяц"),"",IF(TODAY()-G189&gt;=3,"да",""))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6" t="n"/>
      <c r="H190" s="15" t="n"/>
      <c r="I190" s="15" t="n"/>
      <c r="J190" s="15" t="n"/>
      <c r="K190" s="15" t="n"/>
      <c r="L190" s="16" t="n"/>
      <c r="M190" s="15" t="n"/>
      <c r="N190" s="17" t="n"/>
      <c r="O190" s="8">
        <f>IF(G190="","",TODAY()-G190)</f>
        <v/>
      </c>
      <c r="P190" s="8">
        <f>IF(OR(G190="",J190="Оплатили",J190="Отказ",J190="Показ",J190="Пробный месяц"),"",IF(TODAY()-G190&gt;=3,"да",""))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6" t="n"/>
      <c r="H191" s="15" t="n"/>
      <c r="I191" s="15" t="n"/>
      <c r="J191" s="15" t="n"/>
      <c r="K191" s="15" t="n"/>
      <c r="L191" s="16" t="n"/>
      <c r="M191" s="15" t="n"/>
      <c r="N191" s="17" t="n"/>
      <c r="O191" s="8">
        <f>IF(G191="","",TODAY()-G191)</f>
        <v/>
      </c>
      <c r="P191" s="8">
        <f>IF(OR(G191="",J191="Оплатили",J191="Отказ",J191="Показ",J191="Пробный месяц"),"",IF(TODAY()-G191&gt;=3,"да",""))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6" t="n"/>
      <c r="H192" s="15" t="n"/>
      <c r="I192" s="15" t="n"/>
      <c r="J192" s="15" t="n"/>
      <c r="K192" s="15" t="n"/>
      <c r="L192" s="16" t="n"/>
      <c r="M192" s="15" t="n"/>
      <c r="N192" s="17" t="n"/>
      <c r="O192" s="8">
        <f>IF(G192="","",TODAY()-G192)</f>
        <v/>
      </c>
      <c r="P192" s="8">
        <f>IF(OR(G192="",J192="Оплатили",J192="Отказ",J192="Показ",J192="Пробный месяц"),"",IF(TODAY()-G192&gt;=3,"да",""))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6" t="n"/>
      <c r="H193" s="15" t="n"/>
      <c r="I193" s="15" t="n"/>
      <c r="J193" s="15" t="n"/>
      <c r="K193" s="15" t="n"/>
      <c r="L193" s="16" t="n"/>
      <c r="M193" s="15" t="n"/>
      <c r="N193" s="17" t="n"/>
      <c r="O193" s="8">
        <f>IF(G193="","",TODAY()-G193)</f>
        <v/>
      </c>
      <c r="P193" s="8">
        <f>IF(OR(G193="",J193="Оплатили",J193="Отказ",J193="Показ",J193="Пробный месяц"),"",IF(TODAY()-G193&gt;=3,"да",""))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6" t="n"/>
      <c r="H194" s="15" t="n"/>
      <c r="I194" s="15" t="n"/>
      <c r="J194" s="15" t="n"/>
      <c r="K194" s="15" t="n"/>
      <c r="L194" s="16" t="n"/>
      <c r="M194" s="15" t="n"/>
      <c r="N194" s="17" t="n"/>
      <c r="O194" s="8">
        <f>IF(G194="","",TODAY()-G194)</f>
        <v/>
      </c>
      <c r="P194" s="8">
        <f>IF(OR(G194="",J194="Оплатили",J194="Отказ",J194="Показ",J194="Пробный месяц"),"",IF(TODAY()-G194&gt;=3,"да",""))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6" t="n"/>
      <c r="H195" s="15" t="n"/>
      <c r="I195" s="15" t="n"/>
      <c r="J195" s="15" t="n"/>
      <c r="K195" s="15" t="n"/>
      <c r="L195" s="16" t="n"/>
      <c r="M195" s="15" t="n"/>
      <c r="N195" s="17" t="n"/>
      <c r="O195" s="8">
        <f>IF(G195="","",TODAY()-G195)</f>
        <v/>
      </c>
      <c r="P195" s="8">
        <f>IF(OR(G195="",J195="Оплатили",J195="Отказ",J195="Показ",J195="Пробный месяц"),"",IF(TODAY()-G195&gt;=3,"да",""))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6" t="n"/>
      <c r="H196" s="15" t="n"/>
      <c r="I196" s="15" t="n"/>
      <c r="J196" s="15" t="n"/>
      <c r="K196" s="15" t="n"/>
      <c r="L196" s="16" t="n"/>
      <c r="M196" s="15" t="n"/>
      <c r="N196" s="17" t="n"/>
      <c r="O196" s="8">
        <f>IF(G196="","",TODAY()-G196)</f>
        <v/>
      </c>
      <c r="P196" s="8">
        <f>IF(OR(G196="",J196="Оплатили",J196="Отказ",J196="Показ",J196="Пробный месяц"),"",IF(TODAY()-G196&gt;=3,"да",""))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6" t="n"/>
      <c r="H197" s="15" t="n"/>
      <c r="I197" s="15" t="n"/>
      <c r="J197" s="15" t="n"/>
      <c r="K197" s="15" t="n"/>
      <c r="L197" s="16" t="n"/>
      <c r="M197" s="15" t="n"/>
      <c r="N197" s="17" t="n"/>
      <c r="O197" s="8">
        <f>IF(G197="","",TODAY()-G197)</f>
        <v/>
      </c>
      <c r="P197" s="8">
        <f>IF(OR(G197="",J197="Оплатили",J197="Отказ",J197="Показ",J197="Пробный месяц"),"",IF(TODAY()-G197&gt;=3,"да",""))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6" t="n"/>
      <c r="H198" s="15" t="n"/>
      <c r="I198" s="15" t="n"/>
      <c r="J198" s="15" t="n"/>
      <c r="K198" s="15" t="n"/>
      <c r="L198" s="16" t="n"/>
      <c r="M198" s="15" t="n"/>
      <c r="N198" s="17" t="n"/>
      <c r="O198" s="8">
        <f>IF(G198="","",TODAY()-G198)</f>
        <v/>
      </c>
      <c r="P198" s="8">
        <f>IF(OR(G198="",J198="Оплатили",J198="Отказ",J198="Показ",J198="Пробный месяц"),"",IF(TODAY()-G198&gt;=3,"да",""))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6" t="n"/>
      <c r="H199" s="15" t="n"/>
      <c r="I199" s="15" t="n"/>
      <c r="J199" s="15" t="n"/>
      <c r="K199" s="15" t="n"/>
      <c r="L199" s="16" t="n"/>
      <c r="M199" s="15" t="n"/>
      <c r="N199" s="17" t="n"/>
      <c r="O199" s="8">
        <f>IF(G199="","",TODAY()-G199)</f>
        <v/>
      </c>
      <c r="P199" s="8">
        <f>IF(OR(G199="",J199="Оплатили",J199="Отказ",J199="Показ",J199="Пробный месяц"),"",IF(TODAY()-G199&gt;=3,"да",""))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6" t="n"/>
      <c r="H200" s="15" t="n"/>
      <c r="I200" s="15" t="n"/>
      <c r="J200" s="15" t="n"/>
      <c r="K200" s="15" t="n"/>
      <c r="L200" s="16" t="n"/>
      <c r="M200" s="15" t="n"/>
      <c r="N200" s="17" t="n"/>
      <c r="O200" s="8">
        <f>IF(G200="","",TODAY()-G200)</f>
        <v/>
      </c>
      <c r="P200" s="8">
        <f>IF(OR(G200="",J200="Оплатили",J200="Отказ",J200="Показ",J200="Пробный месяц"),"",IF(TODAY()-G200&gt;=3,"да",""))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6" t="n"/>
      <c r="H201" s="15" t="n"/>
      <c r="I201" s="15" t="n"/>
      <c r="J201" s="15" t="n"/>
      <c r="K201" s="15" t="n"/>
      <c r="L201" s="16" t="n"/>
      <c r="M201" s="15" t="n"/>
      <c r="N201" s="17" t="n"/>
      <c r="O201" s="8">
        <f>IF(G201="","",TODAY()-G201)</f>
        <v/>
      </c>
      <c r="P201" s="8">
        <f>IF(OR(G201="",J201="Оплатили",J201="Отказ",J201="Показ",J201="Пробный месяц"),"",IF(TODAY()-G201&gt;=3,"да",""))</f>
        <v/>
      </c>
    </row>
  </sheetData>
  <autoFilter ref="A1:P201"/>
  <conditionalFormatting sqref="P2:P201">
    <cfRule type="cellIs" priority="1" operator="equal" dxfId="0">
      <formula>"да"</formula>
    </cfRule>
  </conditionalFormatting>
  <conditionalFormatting sqref="J2:J201">
    <cfRule type="cellIs" priority="2" operator="equal" dxfId="1">
      <formula>"Оплатили"</formula>
    </cfRule>
    <cfRule type="cellIs" priority="3" operator="equal" dxfId="2">
      <formula>"Отказ"</formula>
    </cfRule>
  </conditionalFormatting>
  <dataValidations count="2">
    <dataValidation sqref="J2:J201" showDropDown="0" showInputMessage="0" showErrorMessage="0" allowBlank="1" type="list">
      <formula1>"Написали,Ответили,Показ,Пробный месяц,Оплатили,Отказ"</formula1>
    </dataValidation>
    <dataValidation sqref="M2:M201" showDropDown="0" showInputMessage="0" showErrorMessage="0" allowBlank="1" type="list">
      <formula1>"Старт,Клиника,Сеть"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</cols>
  <sheetData>
    <row r="1">
      <c r="A1" s="1" t="inlineStr">
        <is>
          <t>Воронка продаж</t>
        </is>
      </c>
    </row>
    <row r="2">
      <c r="A2" s="2" t="inlineStr">
        <is>
          <t>Считается из листа «Учёт обращений».</t>
        </is>
      </c>
    </row>
    <row r="4">
      <c r="A4" s="18" t="inlineStr">
        <is>
          <t>Статус</t>
        </is>
      </c>
      <c r="B4" s="18" t="inlineStr">
        <is>
          <t>Клиник</t>
        </is>
      </c>
      <c r="C4" s="18" t="inlineStr">
        <is>
          <t>Доля от написанных</t>
        </is>
      </c>
    </row>
    <row r="5">
      <c r="A5" t="inlineStr">
        <is>
          <t>Написали</t>
        </is>
      </c>
      <c r="B5">
        <f>COUNTIF('Учёт обращений'!J2:J201,A5)</f>
        <v/>
      </c>
      <c r="C5" s="19">
        <f>IF($B$11=0,0,B5/$B$11)</f>
        <v/>
      </c>
    </row>
    <row r="6">
      <c r="A6" t="inlineStr">
        <is>
          <t>Ответили</t>
        </is>
      </c>
      <c r="B6">
        <f>COUNTIF('Учёт обращений'!J2:J201,A6)</f>
        <v/>
      </c>
      <c r="C6" s="19">
        <f>IF($B$11=0,0,B6/$B$11)</f>
        <v/>
      </c>
    </row>
    <row r="7">
      <c r="A7" t="inlineStr">
        <is>
          <t>Показ</t>
        </is>
      </c>
      <c r="B7">
        <f>COUNTIF('Учёт обращений'!J2:J201,A7)</f>
        <v/>
      </c>
      <c r="C7" s="19">
        <f>IF($B$11=0,0,B7/$B$11)</f>
        <v/>
      </c>
    </row>
    <row r="8">
      <c r="A8" t="inlineStr">
        <is>
          <t>Пробный месяц</t>
        </is>
      </c>
      <c r="B8">
        <f>COUNTIF('Учёт обращений'!J2:J201,A8)</f>
        <v/>
      </c>
      <c r="C8" s="19">
        <f>IF($B$11=0,0,B8/$B$11)</f>
        <v/>
      </c>
    </row>
    <row r="9">
      <c r="A9" t="inlineStr">
        <is>
          <t>Оплатили</t>
        </is>
      </c>
      <c r="B9">
        <f>COUNTIF('Учёт обращений'!J2:J201,A9)</f>
        <v/>
      </c>
      <c r="C9" s="19">
        <f>IF($B$11=0,0,B9/$B$11)</f>
        <v/>
      </c>
    </row>
    <row r="10">
      <c r="A10" t="inlineStr">
        <is>
          <t>Отказ</t>
        </is>
      </c>
      <c r="B10">
        <f>COUNTIF('Учёт обращений'!J2:J201,A10)</f>
        <v/>
      </c>
      <c r="C10" s="19">
        <f>IF($B$11=0,0,B10/$B$11)</f>
        <v/>
      </c>
    </row>
    <row r="11">
      <c r="A11" s="3" t="inlineStr">
        <is>
          <t>Всего</t>
        </is>
      </c>
      <c r="B11">
        <f>SUM(B5:B10)</f>
        <v/>
      </c>
    </row>
    <row r="13">
      <c r="A13" t="inlineStr">
        <is>
          <t>Получено, ₸</t>
        </is>
      </c>
      <c r="B13" s="17">
        <f>SUMIF('Учёт обращений'!J2:J201,"Оплатили",'Учёт обращений'!N2:N201)</f>
        <v/>
      </c>
    </row>
    <row r="14">
      <c r="A14" t="inlineStr">
        <is>
          <t>Нужно напомнить сегодня</t>
        </is>
      </c>
      <c r="B14">
        <f>COUNTIF('Учёт обращений'!P2:P201,"да")</f>
        <v/>
      </c>
    </row>
    <row r="15">
      <c r="A15" t="inlineStr">
        <is>
          <t>Из написанных ответили (%)</t>
        </is>
      </c>
      <c r="B15" s="19">
        <f>IF(B11=0,0,(B6+B7+B8+B9+B10)/B11)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2026-10-25T08:21:52Z</dcterms:created>
  <dcterms:modified xmlns:dcterms="http://purl.org/dc/terms/" xmlns:xsi="http://www.w3.org/2001/XMLSchema-instance" xsi:type="dcterms:W3CDTF">2026-10-25T08:21:52Z</dcterms:modified>
</cp:coreProperties>
</file>